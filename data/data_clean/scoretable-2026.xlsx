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Responses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<sst xmlns="http://schemas.openxmlformats.org/spreadsheetml/2006/main" count="2039" uniqueCount="873">
  <si>
    <t xml:space="preserve">Column1</t>
  </si>
  <si>
    <t xml:space="preserve">Column2</t>
  </si>
  <si>
    <t xml:space="preserve">Column3</t>
  </si>
  <si>
    <t xml:space="preserve">Column4</t>
  </si>
  <si>
    <t xml:space="preserve">Column5</t>
  </si>
  <si>
    <t xml:space="preserve">Column6</t>
  </si>
  <si>
    <t xml:space="preserve">Column7</t>
  </si>
  <si>
    <t xml:space="preserve">Column8</t>
  </si>
  <si>
    <t xml:space="preserve">Column9</t>
  </si>
  <si>
    <t xml:space="preserve">Column10</t>
  </si>
  <si>
    <t xml:space="preserve">XXXVIII Asian Pacific Mathematics Olympiad</t>
  </si>
  <si>
    <t xml:space="preserve">Results and Awards</t>
  </si>
  <si>
    <t xml:space="preserve">Number of particpating countries</t>
  </si>
  <si>
    <t xml:space="preserve">Number of official contestants</t>
  </si>
  <si>
    <t xml:space="preserve">Total number of Awards</t>
  </si>
  <si>
    <t xml:space="preserve">Mean score</t>
  </si>
  <si>
    <t xml:space="preserve">Std Deviation</t>
  </si>
  <si>
    <t xml:space="preserve">Minimum for Gold</t>
  </si>
  <si>
    <t xml:space="preserve">Number of Gold Medals</t>
  </si>
  <si>
    <t xml:space="preserve">Minimum for Silver</t>
  </si>
  <si>
    <t xml:space="preserve">Number of Silver Medals</t>
  </si>
  <si>
    <t xml:space="preserve">Minimum for Bronze</t>
  </si>
  <si>
    <t xml:space="preserve">Number of Bronze Medals</t>
  </si>
  <si>
    <t xml:space="preserve">Honorable Mention</t>
  </si>
  <si>
    <t xml:space="preserve">Getting full score on one of the five problems</t>
  </si>
  <si>
    <t xml:space="preserve">Number of Honorable Mentions</t>
  </si>
  <si>
    <t xml:space="preserve">Country</t>
  </si>
  <si>
    <t xml:space="preserve">Country Rank</t>
  </si>
  <si>
    <t xml:space="preserve">Last name</t>
  </si>
  <si>
    <t xml:space="preserve">First name</t>
  </si>
  <si>
    <t xml:space="preserve">Sex</t>
  </si>
  <si>
    <t xml:space="preserve">Problem 1</t>
  </si>
  <si>
    <t xml:space="preserve">Problem 2</t>
  </si>
  <si>
    <t xml:space="preserve">Problem 3</t>
  </si>
  <si>
    <t xml:space="preserve">Problem 4</t>
  </si>
  <si>
    <t xml:space="preserve">Problem 5</t>
  </si>
  <si>
    <t xml:space="preserve">Total</t>
  </si>
  <si>
    <t xml:space="preserve">Medal</t>
  </si>
  <si>
    <t xml:space="preserve">Team score</t>
  </si>
  <si>
    <t xml:space="preserve">Team ranking</t>
  </si>
  <si>
    <t xml:space="preserve">Argentina</t>
  </si>
  <si>
    <t xml:space="preserve">SOSA</t>
  </si>
  <si>
    <t xml:space="preserve">Emiliano</t>
  </si>
  <si>
    <t xml:space="preserve">M</t>
  </si>
  <si>
    <t xml:space="preserve">B</t>
  </si>
  <si>
    <t xml:space="preserve">GREBNICOFF</t>
  </si>
  <si>
    <t xml:space="preserve">Iair</t>
  </si>
  <si>
    <t xml:space="preserve">FISZELEW</t>
  </si>
  <si>
    <t xml:space="preserve">Bruno</t>
  </si>
  <si>
    <t xml:space="preserve">H</t>
  </si>
  <si>
    <t xml:space="preserve">ORGUEIRA COLUCCI</t>
  </si>
  <si>
    <t xml:space="preserve">Malena Agustina</t>
  </si>
  <si>
    <t xml:space="preserve">F</t>
  </si>
  <si>
    <t xml:space="preserve">KECHICHIAN</t>
  </si>
  <si>
    <t xml:space="preserve">Facundo Aram</t>
  </si>
  <si>
    <t xml:space="preserve">GALLI</t>
  </si>
  <si>
    <t xml:space="preserve">Manuel</t>
  </si>
  <si>
    <t xml:space="preserve">LEIDHOLD</t>
  </si>
  <si>
    <t xml:space="preserve">Agustín</t>
  </si>
  <si>
    <t xml:space="preserve">CORIN</t>
  </si>
  <si>
    <t xml:space="preserve">Federica</t>
  </si>
  <si>
    <t xml:space="preserve">MAURI</t>
  </si>
  <si>
    <t xml:space="preserve">Facundo</t>
  </si>
  <si>
    <t xml:space="preserve">ZHANG</t>
  </si>
  <si>
    <t xml:space="preserve">Jazmín</t>
  </si>
  <si>
    <t xml:space="preserve">Australia</t>
  </si>
  <si>
    <t xml:space="preserve">Zhu</t>
  </si>
  <si>
    <t xml:space="preserve">Joseph</t>
  </si>
  <si>
    <t xml:space="preserve">G</t>
  </si>
  <si>
    <t xml:space="preserve">Liu</t>
  </si>
  <si>
    <t xml:space="preserve">Kevin (Hangzhi)</t>
  </si>
  <si>
    <t xml:space="preserve">S</t>
  </si>
  <si>
    <t xml:space="preserve">Wang</t>
  </si>
  <si>
    <t xml:space="preserve">Matthew</t>
  </si>
  <si>
    <t xml:space="preserve">Wong</t>
  </si>
  <si>
    <t xml:space="preserve">Tao</t>
  </si>
  <si>
    <t xml:space="preserve">Pan</t>
  </si>
  <si>
    <t xml:space="preserve">Jayden</t>
  </si>
  <si>
    <t xml:space="preserve">Tang</t>
  </si>
  <si>
    <t xml:space="preserve">Kevin</t>
  </si>
  <si>
    <t xml:space="preserve">Sun</t>
  </si>
  <si>
    <t xml:space="preserve">Yihan (Olivia)</t>
  </si>
  <si>
    <t xml:space="preserve">Celinski</t>
  </si>
  <si>
    <t xml:space="preserve">Liam</t>
  </si>
  <si>
    <t xml:space="preserve">Qian</t>
  </si>
  <si>
    <t xml:space="preserve">Mason</t>
  </si>
  <si>
    <t xml:space="preserve">Li</t>
  </si>
  <si>
    <t xml:space="preserve">Amber</t>
  </si>
  <si>
    <t xml:space="preserve">Azerbaijan</t>
  </si>
  <si>
    <t xml:space="preserve">Iskandar</t>
  </si>
  <si>
    <t xml:space="preserve">Farhad</t>
  </si>
  <si>
    <t xml:space="preserve">Ibishova</t>
  </si>
  <si>
    <t xml:space="preserve">Zahra</t>
  </si>
  <si>
    <t xml:space="preserve">Hasan</t>
  </si>
  <si>
    <t xml:space="preserve">Alikamal</t>
  </si>
  <si>
    <t xml:space="preserve">Zeynalov</t>
  </si>
  <si>
    <t xml:space="preserve">Huseyn</t>
  </si>
  <si>
    <t xml:space="preserve">Musayev</t>
  </si>
  <si>
    <t xml:space="preserve">Turan</t>
  </si>
  <si>
    <t xml:space="preserve">Tarverdili</t>
  </si>
  <si>
    <t xml:space="preserve">Davud</t>
  </si>
  <si>
    <t xml:space="preserve">Asadzada</t>
  </si>
  <si>
    <t xml:space="preserve">Ayxan</t>
  </si>
  <si>
    <t xml:space="preserve">Shirinov</t>
  </si>
  <si>
    <t xml:space="preserve">Mikayil</t>
  </si>
  <si>
    <t xml:space="preserve">Nabiyeva</t>
  </si>
  <si>
    <t xml:space="preserve">Leman</t>
  </si>
  <si>
    <t xml:space="preserve">Hasanzada</t>
  </si>
  <si>
    <t xml:space="preserve">Tunar</t>
  </si>
  <si>
    <t xml:space="preserve">Bolivia</t>
  </si>
  <si>
    <t xml:space="preserve">Villán Gabriel</t>
  </si>
  <si>
    <t xml:space="preserve">Luis André</t>
  </si>
  <si>
    <t xml:space="preserve">Cabrera Torrico</t>
  </si>
  <si>
    <t xml:space="preserve">Carla Milagros</t>
  </si>
  <si>
    <t xml:space="preserve">Audivert Serrudo</t>
  </si>
  <si>
    <t xml:space="preserve">Alan Gabriel</t>
  </si>
  <si>
    <t xml:space="preserve">Arteaga López</t>
  </si>
  <si>
    <t xml:space="preserve">Antonio Alberto </t>
  </si>
  <si>
    <t xml:space="preserve">Ergueta Palacios</t>
  </si>
  <si>
    <t xml:space="preserve">Adrian Ignacio</t>
  </si>
  <si>
    <t xml:space="preserve">Alvarado Churqui</t>
  </si>
  <si>
    <t xml:space="preserve">Daniel</t>
  </si>
  <si>
    <t xml:space="preserve">Villazón Rivero</t>
  </si>
  <si>
    <t xml:space="preserve">Kael Rubén</t>
  </si>
  <si>
    <t xml:space="preserve">Brazil</t>
  </si>
  <si>
    <t xml:space="preserve">Akira Koga</t>
  </si>
  <si>
    <t xml:space="preserve">Erick</t>
  </si>
  <si>
    <t xml:space="preserve">Fontes Silva</t>
  </si>
  <si>
    <t xml:space="preserve">Maria Clara</t>
  </si>
  <si>
    <t xml:space="preserve">Holanda Sampaio</t>
  </si>
  <si>
    <t xml:space="preserve">Enzo</t>
  </si>
  <si>
    <t xml:space="preserve">de Oliveira Pimentel Leite</t>
  </si>
  <si>
    <t xml:space="preserve">Paulo Jônatas</t>
  </si>
  <si>
    <t xml:space="preserve">Ivamoto Hirota</t>
  </si>
  <si>
    <t xml:space="preserve">Medeiros Ferraz de Campos</t>
  </si>
  <si>
    <t xml:space="preserve">Fábio</t>
  </si>
  <si>
    <t xml:space="preserve">de Almeida da Silva</t>
  </si>
  <si>
    <t xml:space="preserve">João Pedro</t>
  </si>
  <si>
    <t xml:space="preserve">Mendes de Oliveira</t>
  </si>
  <si>
    <t xml:space="preserve">Matheus</t>
  </si>
  <si>
    <t xml:space="preserve">Lima Maia</t>
  </si>
  <si>
    <t xml:space="preserve">Davi</t>
  </si>
  <si>
    <t xml:space="preserve">da Silva Novais Neto</t>
  </si>
  <si>
    <t xml:space="preserve">Valter</t>
  </si>
  <si>
    <t xml:space="preserve">Bulgaria</t>
  </si>
  <si>
    <t xml:space="preserve">Georgiev</t>
  </si>
  <si>
    <t xml:space="preserve">Presiyan</t>
  </si>
  <si>
    <t xml:space="preserve">Drambozov</t>
  </si>
  <si>
    <t xml:space="preserve">Vasil</t>
  </si>
  <si>
    <t xml:space="preserve">Nikolov</t>
  </si>
  <si>
    <t xml:space="preserve">George</t>
  </si>
  <si>
    <t xml:space="preserve">Mishev</t>
  </si>
  <si>
    <t xml:space="preserve">Yani</t>
  </si>
  <si>
    <t xml:space="preserve">Dobrev</t>
  </si>
  <si>
    <t xml:space="preserve">Dobromir</t>
  </si>
  <si>
    <t xml:space="preserve">Nikola</t>
  </si>
  <si>
    <t xml:space="preserve">Markov</t>
  </si>
  <si>
    <t xml:space="preserve">Boris</t>
  </si>
  <si>
    <t xml:space="preserve">Sakarev</t>
  </si>
  <si>
    <t xml:space="preserve">Bozhidar</t>
  </si>
  <si>
    <t xml:space="preserve">Stefanov</t>
  </si>
  <si>
    <t xml:space="preserve">Alexandar</t>
  </si>
  <si>
    <t xml:space="preserve">Lyubenov</t>
  </si>
  <si>
    <t xml:space="preserve">Nikolay</t>
  </si>
  <si>
    <t xml:space="preserve">Canada</t>
  </si>
  <si>
    <t xml:space="preserve">Wu</t>
  </si>
  <si>
    <t xml:space="preserve">Leo</t>
  </si>
  <si>
    <t xml:space="preserve">Tiger</t>
  </si>
  <si>
    <t xml:space="preserve">Christopher</t>
  </si>
  <si>
    <t xml:space="preserve">Dai</t>
  </si>
  <si>
    <t xml:space="preserve">Perry</t>
  </si>
  <si>
    <t xml:space="preserve">Agarwal</t>
  </si>
  <si>
    <t xml:space="preserve">Ansh</t>
  </si>
  <si>
    <t xml:space="preserve">Fu</t>
  </si>
  <si>
    <t xml:space="preserve">Yuxin</t>
  </si>
  <si>
    <t xml:space="preserve">Jonathan</t>
  </si>
  <si>
    <t xml:space="preserve">Ryan</t>
  </si>
  <si>
    <t xml:space="preserve">Zhang</t>
  </si>
  <si>
    <t xml:space="preserve">Sophie</t>
  </si>
  <si>
    <t xml:space="preserve">Michael</t>
  </si>
  <si>
    <t xml:space="preserve">Colombia</t>
  </si>
  <si>
    <t xml:space="preserve">Santiago</t>
  </si>
  <si>
    <t xml:space="preserve">Gabriel</t>
  </si>
  <si>
    <t xml:space="preserve">M </t>
  </si>
  <si>
    <t xml:space="preserve">Pertuz</t>
  </si>
  <si>
    <t xml:space="preserve">Samuel</t>
  </si>
  <si>
    <t xml:space="preserve">Enriquez</t>
  </si>
  <si>
    <t xml:space="preserve">Jholger Santiago</t>
  </si>
  <si>
    <t xml:space="preserve">Viviescas</t>
  </si>
  <si>
    <t xml:space="preserve">Simón</t>
  </si>
  <si>
    <t xml:space="preserve">López</t>
  </si>
  <si>
    <t xml:space="preserve">Tomás</t>
  </si>
  <si>
    <t xml:space="preserve">Melgarejo</t>
  </si>
  <si>
    <t xml:space="preserve">Juan Camilo</t>
  </si>
  <si>
    <t xml:space="preserve">Aristizabal</t>
  </si>
  <si>
    <t xml:space="preserve">Maria José</t>
  </si>
  <si>
    <t xml:space="preserve">Miguel Angel</t>
  </si>
  <si>
    <t xml:space="preserve">Estrada</t>
  </si>
  <si>
    <t xml:space="preserve">Daniela</t>
  </si>
  <si>
    <t xml:space="preserve">José Alejandro</t>
  </si>
  <si>
    <t xml:space="preserve">Costa Rica</t>
  </si>
  <si>
    <t xml:space="preserve">Ramírez Aguilar</t>
  </si>
  <si>
    <t xml:space="preserve">Julián José</t>
  </si>
  <si>
    <t xml:space="preserve">Alfaro Arguedas</t>
  </si>
  <si>
    <t xml:space="preserve">Felipe</t>
  </si>
  <si>
    <t xml:space="preserve">Morgan Sandí</t>
  </si>
  <si>
    <t xml:space="preserve">José Pablo</t>
  </si>
  <si>
    <t xml:space="preserve">Siddharth</t>
  </si>
  <si>
    <t xml:space="preserve">Kailash Kleinman</t>
  </si>
  <si>
    <t xml:space="preserve">Rodríguez Soto</t>
  </si>
  <si>
    <t xml:space="preserve">Luisa</t>
  </si>
  <si>
    <t xml:space="preserve">Fonseca Carrión</t>
  </si>
  <si>
    <t xml:space="preserve">Sara</t>
  </si>
  <si>
    <t xml:space="preserve">Castro Calderón</t>
  </si>
  <si>
    <t xml:space="preserve">Sebastián Javier</t>
  </si>
  <si>
    <t xml:space="preserve">Ecuador</t>
  </si>
  <si>
    <t xml:space="preserve">Zavala Freire</t>
  </si>
  <si>
    <t xml:space="preserve">Luis</t>
  </si>
  <si>
    <t xml:space="preserve"> Liu Zhang</t>
  </si>
  <si>
    <t xml:space="preserve">Denny</t>
  </si>
  <si>
    <t xml:space="preserve">Alonso Parada</t>
  </si>
  <si>
    <t xml:space="preserve">Maximiliano </t>
  </si>
  <si>
    <t xml:space="preserve">Guasgua Izquierdo</t>
  </si>
  <si>
    <t xml:space="preserve">Nicolas</t>
  </si>
  <si>
    <t xml:space="preserve">Peñaherrera Freire</t>
  </si>
  <si>
    <t xml:space="preserve">Martin </t>
  </si>
  <si>
    <t xml:space="preserve">Dunn Bertha</t>
  </si>
  <si>
    <t xml:space="preserve">Mia </t>
  </si>
  <si>
    <t xml:space="preserve">Crausaz</t>
  </si>
  <si>
    <t xml:space="preserve">Juan </t>
  </si>
  <si>
    <t xml:space="preserve">Ruales Santos</t>
  </si>
  <si>
    <t xml:space="preserve">Issac </t>
  </si>
  <si>
    <t xml:space="preserve">Cai Chen</t>
  </si>
  <si>
    <t xml:space="preserve">Esteban</t>
  </si>
  <si>
    <t xml:space="preserve">De Blas Camacho</t>
  </si>
  <si>
    <t xml:space="preserve">Ricardo </t>
  </si>
  <si>
    <t xml:space="preserve">El Salvador</t>
  </si>
  <si>
    <t xml:space="preserve">Morán Cerón</t>
  </si>
  <si>
    <t xml:space="preserve">Helen Paola</t>
  </si>
  <si>
    <t xml:space="preserve">Vargas Quezada</t>
  </si>
  <si>
    <t xml:space="preserve">Christopher Enrique</t>
  </si>
  <si>
    <t xml:space="preserve">Denis Ibarra</t>
  </si>
  <si>
    <t xml:space="preserve">Rene Rafael</t>
  </si>
  <si>
    <t xml:space="preserve">Hong Kong</t>
  </si>
  <si>
    <t xml:space="preserve">Kwan</t>
  </si>
  <si>
    <t xml:space="preserve">Yung Ho</t>
  </si>
  <si>
    <t xml:space="preserve">Sze</t>
  </si>
  <si>
    <t xml:space="preserve">Long</t>
  </si>
  <si>
    <t xml:space="preserve">Xu</t>
  </si>
  <si>
    <t xml:space="preserve">Zi Jie Jerry</t>
  </si>
  <si>
    <t xml:space="preserve">Zi Ang</t>
  </si>
  <si>
    <t xml:space="preserve">Chong</t>
  </si>
  <si>
    <t xml:space="preserve">Tsz Sing</t>
  </si>
  <si>
    <t xml:space="preserve">Tsz Hin</t>
  </si>
  <si>
    <t xml:space="preserve">Fung</t>
  </si>
  <si>
    <t xml:space="preserve">Lok Chun</t>
  </si>
  <si>
    <t xml:space="preserve">Chen</t>
  </si>
  <si>
    <t xml:space="preserve">Xi Yue</t>
  </si>
  <si>
    <t xml:space="preserve">Adam</t>
  </si>
  <si>
    <t xml:space="preserve">Yuen</t>
  </si>
  <si>
    <t xml:space="preserve">Hei Wang Roderick</t>
  </si>
  <si>
    <t xml:space="preserve">India</t>
  </si>
  <si>
    <t xml:space="preserve">Mathew</t>
  </si>
  <si>
    <t xml:space="preserve">Abel George</t>
  </si>
  <si>
    <t xml:space="preserve">Gupta</t>
  </si>
  <si>
    <t xml:space="preserve">Aarav</t>
  </si>
  <si>
    <t xml:space="preserve">Sachdev</t>
  </si>
  <si>
    <t xml:space="preserve">Dhruv</t>
  </si>
  <si>
    <t xml:space="preserve">Murugan</t>
  </si>
  <si>
    <t xml:space="preserve">Bairav</t>
  </si>
  <si>
    <t xml:space="preserve">Mundhada</t>
  </si>
  <si>
    <t xml:space="preserve">Shreya</t>
  </si>
  <si>
    <t xml:space="preserve">Khetan</t>
  </si>
  <si>
    <t xml:space="preserve">Abhinav</t>
  </si>
  <si>
    <t xml:space="preserve">Aditya</t>
  </si>
  <si>
    <t xml:space="preserve">Talwar</t>
  </si>
  <si>
    <t xml:space="preserve">Kanav</t>
  </si>
  <si>
    <t xml:space="preserve">Chacko</t>
  </si>
  <si>
    <t xml:space="preserve">Sanjana Philo</t>
  </si>
  <si>
    <t xml:space="preserve">Sardar</t>
  </si>
  <si>
    <t xml:space="preserve">Anik</t>
  </si>
  <si>
    <t xml:space="preserve">Indonesia</t>
  </si>
  <si>
    <t xml:space="preserve">Odelia</t>
  </si>
  <si>
    <t xml:space="preserve">Danica</t>
  </si>
  <si>
    <t xml:space="preserve">Adinatanegara</t>
  </si>
  <si>
    <t xml:space="preserve">Yusril Ihsan</t>
  </si>
  <si>
    <t xml:space="preserve">Setiawan</t>
  </si>
  <si>
    <t xml:space="preserve">Chrysander I A</t>
  </si>
  <si>
    <t xml:space="preserve">Tjiptono</t>
  </si>
  <si>
    <t xml:space="preserve">Matthew Ravanelli</t>
  </si>
  <si>
    <t xml:space="preserve">Jurianto</t>
  </si>
  <si>
    <t xml:space="preserve">Gani</t>
  </si>
  <si>
    <t xml:space="preserve">Winston Christian</t>
  </si>
  <si>
    <t xml:space="preserve">Renjiro</t>
  </si>
  <si>
    <t xml:space="preserve">Fernando Almer</t>
  </si>
  <si>
    <t xml:space="preserve">Huang</t>
  </si>
  <si>
    <t xml:space="preserve">Neilson</t>
  </si>
  <si>
    <t xml:space="preserve">Yoshield</t>
  </si>
  <si>
    <t xml:space="preserve">Jenover Viano</t>
  </si>
  <si>
    <t xml:space="preserve">Halim</t>
  </si>
  <si>
    <t xml:space="preserve">Janssen Samuel</t>
  </si>
  <si>
    <t xml:space="preserve">Iran</t>
  </si>
  <si>
    <t xml:space="preserve">Sharifi</t>
  </si>
  <si>
    <t xml:space="preserve">Alireza</t>
  </si>
  <si>
    <t xml:space="preserve">Tayeb</t>
  </si>
  <si>
    <t xml:space="preserve">AmirHossein</t>
  </si>
  <si>
    <t xml:space="preserve">Izadi</t>
  </si>
  <si>
    <t xml:space="preserve">Ayeen</t>
  </si>
  <si>
    <t xml:space="preserve">NIkEghbali</t>
  </si>
  <si>
    <t xml:space="preserve">Radin</t>
  </si>
  <si>
    <t xml:space="preserve">Esmailpour</t>
  </si>
  <si>
    <t xml:space="preserve">Reza</t>
  </si>
  <si>
    <t xml:space="preserve">Zandi</t>
  </si>
  <si>
    <t xml:space="preserve">Arian</t>
  </si>
  <si>
    <t xml:space="preserve">Sirous</t>
  </si>
  <si>
    <t xml:space="preserve">Mohammad Hossein</t>
  </si>
  <si>
    <t xml:space="preserve">Lamei</t>
  </si>
  <si>
    <t xml:space="preserve">Mahan</t>
  </si>
  <si>
    <t xml:space="preserve">Asadi</t>
  </si>
  <si>
    <t xml:space="preserve">Sajjad</t>
  </si>
  <si>
    <t xml:space="preserve">Jounbakhsh NajafAbadi</t>
  </si>
  <si>
    <t xml:space="preserve">Ali</t>
  </si>
  <si>
    <t xml:space="preserve">Japan</t>
  </si>
  <si>
    <t xml:space="preserve">Hamakawa</t>
  </si>
  <si>
    <t xml:space="preserve">Shinjiro</t>
  </si>
  <si>
    <t xml:space="preserve">Hara</t>
  </si>
  <si>
    <t xml:space="preserve">Ryunosuke</t>
  </si>
  <si>
    <t xml:space="preserve">Noshita</t>
  </si>
  <si>
    <t xml:space="preserve">Kohei</t>
  </si>
  <si>
    <t xml:space="preserve">Ito</t>
  </si>
  <si>
    <t xml:space="preserve">Masaki</t>
  </si>
  <si>
    <t xml:space="preserve">Iseto</t>
  </si>
  <si>
    <t xml:space="preserve">Kohta</t>
  </si>
  <si>
    <t xml:space="preserve">Kohki</t>
  </si>
  <si>
    <t xml:space="preserve">Ukaji</t>
  </si>
  <si>
    <t xml:space="preserve">Hayato</t>
  </si>
  <si>
    <t xml:space="preserve">Hatachi</t>
  </si>
  <si>
    <t xml:space="preserve">Rina</t>
  </si>
  <si>
    <t xml:space="preserve">Ando</t>
  </si>
  <si>
    <t xml:space="preserve">Shogo</t>
  </si>
  <si>
    <t xml:space="preserve">Kitano</t>
  </si>
  <si>
    <t xml:space="preserve">Soichiro</t>
  </si>
  <si>
    <t xml:space="preserve">Kazakhstan</t>
  </si>
  <si>
    <t xml:space="preserve">Murat </t>
  </si>
  <si>
    <t xml:space="preserve">Timur</t>
  </si>
  <si>
    <t xml:space="preserve">Beiganov</t>
  </si>
  <si>
    <t xml:space="preserve"> Batyrkhan</t>
  </si>
  <si>
    <t xml:space="preserve">Amanzholov</t>
  </si>
  <si>
    <t xml:space="preserve">Amirlan</t>
  </si>
  <si>
    <t xml:space="preserve">Batyrkhan </t>
  </si>
  <si>
    <t xml:space="preserve">Yeskendir </t>
  </si>
  <si>
    <t xml:space="preserve">Leontev</t>
  </si>
  <si>
    <t xml:space="preserve">Anton</t>
  </si>
  <si>
    <t xml:space="preserve">Ussenov </t>
  </si>
  <si>
    <t xml:space="preserve">Eldar</t>
  </si>
  <si>
    <t xml:space="preserve">Eric</t>
  </si>
  <si>
    <t xml:space="preserve">Maxud</t>
  </si>
  <si>
    <t xml:space="preserve">Amantay </t>
  </si>
  <si>
    <t xml:space="preserve">Rakhat</t>
  </si>
  <si>
    <t xml:space="preserve">Sarybek</t>
  </si>
  <si>
    <t xml:space="preserve"> Omar</t>
  </si>
  <si>
    <t xml:space="preserve">Omar</t>
  </si>
  <si>
    <t xml:space="preserve"> Aisultan </t>
  </si>
  <si>
    <t xml:space="preserve">Korea</t>
  </si>
  <si>
    <t xml:space="preserve">Jo</t>
  </si>
  <si>
    <t xml:space="preserve">Seohyung</t>
  </si>
  <si>
    <t xml:space="preserve">Lee</t>
  </si>
  <si>
    <t xml:space="preserve">Hyeonjun</t>
  </si>
  <si>
    <t xml:space="preserve">Jang</t>
  </si>
  <si>
    <t xml:space="preserve">Hyunjun</t>
  </si>
  <si>
    <t xml:space="preserve">Soul</t>
  </si>
  <si>
    <t xml:space="preserve">Byun</t>
  </si>
  <si>
    <t xml:space="preserve">Seojin</t>
  </si>
  <si>
    <t xml:space="preserve">Hong</t>
  </si>
  <si>
    <t xml:space="preserve">Seunguk</t>
  </si>
  <si>
    <t xml:space="preserve">Kim</t>
  </si>
  <si>
    <t xml:space="preserve">Byeonghyeon</t>
  </si>
  <si>
    <t xml:space="preserve">Jihwan</t>
  </si>
  <si>
    <t xml:space="preserve">Donghyun</t>
  </si>
  <si>
    <t xml:space="preserve">Yoon</t>
  </si>
  <si>
    <t xml:space="preserve">Hyewon</t>
  </si>
  <si>
    <t xml:space="preserve">Kyrgyzstan</t>
  </si>
  <si>
    <t xml:space="preserve">Sayat</t>
  </si>
  <si>
    <t xml:space="preserve">Arlan</t>
  </si>
  <si>
    <t xml:space="preserve">Musakhodzhaev</t>
  </si>
  <si>
    <t xml:space="preserve">Sultan</t>
  </si>
  <si>
    <t xml:space="preserve">Abdisamatov</t>
  </si>
  <si>
    <t xml:space="preserve">Nurel</t>
  </si>
  <si>
    <t xml:space="preserve">Abduvaliev</t>
  </si>
  <si>
    <t xml:space="preserve">Bekten</t>
  </si>
  <si>
    <t xml:space="preserve">Azamat</t>
  </si>
  <si>
    <t xml:space="preserve">Aidar</t>
  </si>
  <si>
    <t xml:space="preserve">Akeneev</t>
  </si>
  <si>
    <t xml:space="preserve">Akimov</t>
  </si>
  <si>
    <t xml:space="preserve">Ariet</t>
  </si>
  <si>
    <t xml:space="preserve">Aliyarova</t>
  </si>
  <si>
    <t xml:space="preserve">Kamila</t>
  </si>
  <si>
    <t xml:space="preserve">Doornbekov</t>
  </si>
  <si>
    <t xml:space="preserve">Nurakhmed</t>
  </si>
  <si>
    <t xml:space="preserve">Imetov</t>
  </si>
  <si>
    <t xml:space="preserve">Almanbet</t>
  </si>
  <si>
    <t xml:space="preserve">Macau</t>
  </si>
  <si>
    <t xml:space="preserve">MAK</t>
  </si>
  <si>
    <t xml:space="preserve">CHON HEI</t>
  </si>
  <si>
    <t xml:space="preserve">LI</t>
  </si>
  <si>
    <t xml:space="preserve">ZHUOCHENG</t>
  </si>
  <si>
    <t xml:space="preserve">KUAN KUN</t>
  </si>
  <si>
    <t xml:space="preserve">LAO</t>
  </si>
  <si>
    <t xml:space="preserve">KIN NAM</t>
  </si>
  <si>
    <t xml:space="preserve">ZOU</t>
  </si>
  <si>
    <t xml:space="preserve">NENG CHAN</t>
  </si>
  <si>
    <t xml:space="preserve">CHOI</t>
  </si>
  <si>
    <t xml:space="preserve">SAI CHI</t>
  </si>
  <si>
    <t xml:space="preserve">CHANG</t>
  </si>
  <si>
    <t xml:space="preserve">KUONG HOU</t>
  </si>
  <si>
    <t xml:space="preserve">TANG</t>
  </si>
  <si>
    <t xml:space="preserve">SIN HANG</t>
  </si>
  <si>
    <t xml:space="preserve">LU</t>
  </si>
  <si>
    <t xml:space="preserve">KIROS</t>
  </si>
  <si>
    <t xml:space="preserve">HO</t>
  </si>
  <si>
    <t xml:space="preserve">IN LOK</t>
  </si>
  <si>
    <t xml:space="preserve">Malaysia</t>
  </si>
  <si>
    <t xml:space="preserve">Hew Kai Sheng</t>
  </si>
  <si>
    <t xml:space="preserve">Isaac</t>
  </si>
  <si>
    <t xml:space="preserve">Ming Han</t>
  </si>
  <si>
    <t xml:space="preserve">Chia</t>
  </si>
  <si>
    <t xml:space="preserve">Janson</t>
  </si>
  <si>
    <t xml:space="preserve">Ho</t>
  </si>
  <si>
    <t xml:space="preserve">Hoi Mun</t>
  </si>
  <si>
    <t xml:space="preserve">Kong</t>
  </si>
  <si>
    <t xml:space="preserve">Lee Ker Ru</t>
  </si>
  <si>
    <t xml:space="preserve">Daryl</t>
  </si>
  <si>
    <t xml:space="preserve">Yong Zhi</t>
  </si>
  <si>
    <t xml:space="preserve">Yuichiro</t>
  </si>
  <si>
    <t xml:space="preserve">Furuse</t>
  </si>
  <si>
    <t xml:space="preserve">Yi Shuen</t>
  </si>
  <si>
    <t xml:space="preserve">Yeoh</t>
  </si>
  <si>
    <t xml:space="preserve">Chew Tian You</t>
  </si>
  <si>
    <t xml:space="preserve">Alexander</t>
  </si>
  <si>
    <t xml:space="preserve">Lim Zenn Ee</t>
  </si>
  <si>
    <t xml:space="preserve">Avan</t>
  </si>
  <si>
    <t xml:space="preserve">Mexico</t>
  </si>
  <si>
    <t xml:space="preserve">Cascante Duarte</t>
  </si>
  <si>
    <t xml:space="preserve">Andrea Sarahí</t>
  </si>
  <si>
    <t xml:space="preserve">Martín Zárate</t>
  </si>
  <si>
    <t xml:space="preserve">Diego Francisco</t>
  </si>
  <si>
    <t xml:space="preserve">Higashida Martínez</t>
  </si>
  <si>
    <t xml:space="preserve">Takumi</t>
  </si>
  <si>
    <t xml:space="preserve">Panduro Toscano</t>
  </si>
  <si>
    <t xml:space="preserve">Ángel Uriel</t>
  </si>
  <si>
    <t xml:space="preserve">Caram Quirós</t>
  </si>
  <si>
    <t xml:space="preserve">Javier</t>
  </si>
  <si>
    <t xml:space="preserve">Montemayor Trujillo</t>
  </si>
  <si>
    <t xml:space="preserve">Sebastián</t>
  </si>
  <si>
    <t xml:space="preserve">González García</t>
  </si>
  <si>
    <t xml:space="preserve">Braulio</t>
  </si>
  <si>
    <t xml:space="preserve">Llanas Rodríguez</t>
  </si>
  <si>
    <t xml:space="preserve">David</t>
  </si>
  <si>
    <t xml:space="preserve">Torres Terrazas</t>
  </si>
  <si>
    <t xml:space="preserve">Iker</t>
  </si>
  <si>
    <t xml:space="preserve">Martinez Colmenares</t>
  </si>
  <si>
    <t xml:space="preserve">Victor Eliud</t>
  </si>
  <si>
    <t xml:space="preserve">Mongolia</t>
  </si>
  <si>
    <t xml:space="preserve">Sonor</t>
  </si>
  <si>
    <t xml:space="preserve">Manlai</t>
  </si>
  <si>
    <t xml:space="preserve">Chindegsuren</t>
  </si>
  <si>
    <t xml:space="preserve">Chingun</t>
  </si>
  <si>
    <t xml:space="preserve">Davaadorj </t>
  </si>
  <si>
    <t xml:space="preserve">Khuslen</t>
  </si>
  <si>
    <t xml:space="preserve">Chingunjav</t>
  </si>
  <si>
    <t xml:space="preserve">Turbold</t>
  </si>
  <si>
    <t xml:space="preserve">Munkhbayar</t>
  </si>
  <si>
    <t xml:space="preserve">Amin-Erdene</t>
  </si>
  <si>
    <t xml:space="preserve">Enkhbat</t>
  </si>
  <si>
    <t xml:space="preserve">Khangarid</t>
  </si>
  <si>
    <t xml:space="preserve">Turmunkh</t>
  </si>
  <si>
    <t xml:space="preserve">Javkhlanzaya</t>
  </si>
  <si>
    <t xml:space="preserve">Naranbaatar</t>
  </si>
  <si>
    <t xml:space="preserve">Bolor</t>
  </si>
  <si>
    <t xml:space="preserve">Bayarsaikhan</t>
  </si>
  <si>
    <t xml:space="preserve">Batzorig</t>
  </si>
  <si>
    <t xml:space="preserve">Kharris Jyul Bryus</t>
  </si>
  <si>
    <t xml:space="preserve">Garyet Bryus Kharris</t>
  </si>
  <si>
    <t xml:space="preserve">Morocco</t>
  </si>
  <si>
    <t xml:space="preserve">ELOUAFI </t>
  </si>
  <si>
    <t xml:space="preserve">YAHYA</t>
  </si>
  <si>
    <t xml:space="preserve">CHAQROUN  </t>
  </si>
  <si>
    <t xml:space="preserve">HAYTAM</t>
  </si>
  <si>
    <t xml:space="preserve">SALAMA</t>
  </si>
  <si>
    <t xml:space="preserve">YASSIR</t>
  </si>
  <si>
    <t xml:space="preserve"> AABKARI</t>
  </si>
  <si>
    <t xml:space="preserve">ISMAIL</t>
  </si>
  <si>
    <t xml:space="preserve"> AJBAR</t>
  </si>
  <si>
    <t xml:space="preserve"> YAHIAOUI</t>
  </si>
  <si>
    <t xml:space="preserve">YOUNESS</t>
  </si>
  <si>
    <t xml:space="preserve"> CHERKI</t>
  </si>
  <si>
    <t xml:space="preserve">MOHAMMED</t>
  </si>
  <si>
    <t xml:space="preserve">EL AZZOUZI</t>
  </si>
  <si>
    <t xml:space="preserve">MOHAMED GHASSANE</t>
  </si>
  <si>
    <t xml:space="preserve">LAHLOU</t>
  </si>
  <si>
    <t xml:space="preserve">AKRAM</t>
  </si>
  <si>
    <t xml:space="preserve">EL ABED</t>
  </si>
  <si>
    <t xml:space="preserve">MOHAMED</t>
  </si>
  <si>
    <t xml:space="preserve">New Zealand</t>
  </si>
  <si>
    <t xml:space="preserve">Guan Han</t>
  </si>
  <si>
    <t xml:space="preserve">Alston</t>
  </si>
  <si>
    <t xml:space="preserve">Gwang Ho</t>
  </si>
  <si>
    <t xml:space="preserve">Zhao</t>
  </si>
  <si>
    <t xml:space="preserve">Bella</t>
  </si>
  <si>
    <t xml:space="preserve">Ning</t>
  </si>
  <si>
    <t xml:space="preserve">Isabelle</t>
  </si>
  <si>
    <t xml:space="preserve">Benji</t>
  </si>
  <si>
    <t xml:space="preserve">Geron</t>
  </si>
  <si>
    <t xml:space="preserve">Rémi</t>
  </si>
  <si>
    <t xml:space="preserve">Yu</t>
  </si>
  <si>
    <t xml:space="preserve">Zhiyuan</t>
  </si>
  <si>
    <t xml:space="preserve">Nicaragua</t>
  </si>
  <si>
    <t xml:space="preserve">Vallecillo Rojas</t>
  </si>
  <si>
    <t xml:space="preserve">Fabiana Michelle</t>
  </si>
  <si>
    <t xml:space="preserve">Núñez Jerez</t>
  </si>
  <si>
    <t xml:space="preserve">Hans Marcelo</t>
  </si>
  <si>
    <t xml:space="preserve">Rodríguez Rosales</t>
  </si>
  <si>
    <t xml:space="preserve">Jean Carlos</t>
  </si>
  <si>
    <t xml:space="preserve">Rojas Molinares </t>
  </si>
  <si>
    <t xml:space="preserve">David Ali</t>
  </si>
  <si>
    <t xml:space="preserve">Lumbí Rodríguez</t>
  </si>
  <si>
    <t xml:space="preserve">Cris Angel</t>
  </si>
  <si>
    <t xml:space="preserve">Siles Talavera</t>
  </si>
  <si>
    <t xml:space="preserve">Paola Marie</t>
  </si>
  <si>
    <t xml:space="preserve">Serrano Obando</t>
  </si>
  <si>
    <t xml:space="preserve">Tomas Abraham</t>
  </si>
  <si>
    <t xml:space="preserve">Espinoza Olivares</t>
  </si>
  <si>
    <t xml:space="preserve">Isaac David</t>
  </si>
  <si>
    <t xml:space="preserve">Alma Lia </t>
  </si>
  <si>
    <t xml:space="preserve">Castillo Tórrez</t>
  </si>
  <si>
    <t xml:space="preserve">Adrián Josué</t>
  </si>
  <si>
    <t xml:space="preserve">North Macedonia</t>
  </si>
  <si>
    <t xml:space="preserve">Andrej</t>
  </si>
  <si>
    <t xml:space="preserve">Tasikj</t>
  </si>
  <si>
    <t xml:space="preserve">Panche</t>
  </si>
  <si>
    <t xml:space="preserve">Krstev</t>
  </si>
  <si>
    <t xml:space="preserve">Philip</t>
  </si>
  <si>
    <t xml:space="preserve">Dzambaski</t>
  </si>
  <si>
    <t xml:space="preserve">Bodan</t>
  </si>
  <si>
    <t xml:space="preserve">Kashasliev</t>
  </si>
  <si>
    <t xml:space="preserve">Pakistan</t>
  </si>
  <si>
    <t xml:space="preserve">Bhatti</t>
  </si>
  <si>
    <t xml:space="preserve">Ahmad </t>
  </si>
  <si>
    <t xml:space="preserve">Khan</t>
  </si>
  <si>
    <t xml:space="preserve">Shahmeer</t>
  </si>
  <si>
    <t xml:space="preserve">Akbar Khan</t>
  </si>
  <si>
    <t xml:space="preserve">Fawad</t>
  </si>
  <si>
    <t xml:space="preserve">Jawad Kaleem</t>
  </si>
  <si>
    <t xml:space="preserve">Muhammad</t>
  </si>
  <si>
    <t xml:space="preserve">Mahad Arif</t>
  </si>
  <si>
    <t xml:space="preserve">Abdul Rafay</t>
  </si>
  <si>
    <t xml:space="preserve">Panama</t>
  </si>
  <si>
    <t xml:space="preserve">Lai</t>
  </si>
  <si>
    <t xml:space="preserve">Yilene</t>
  </si>
  <si>
    <t xml:space="preserve"> Yau</t>
  </si>
  <si>
    <t xml:space="preserve">William</t>
  </si>
  <si>
    <t xml:space="preserve"> Qiu</t>
  </si>
  <si>
    <t xml:space="preserve">Alex</t>
  </si>
  <si>
    <t xml:space="preserve">Sahu</t>
  </si>
  <si>
    <t xml:space="preserve">Ishita</t>
  </si>
  <si>
    <t xml:space="preserve">Guillén</t>
  </si>
  <si>
    <t xml:space="preserve">Josué</t>
  </si>
  <si>
    <t xml:space="preserve">Peru</t>
  </si>
  <si>
    <t xml:space="preserve">Rojas Carlos</t>
  </si>
  <si>
    <t xml:space="preserve">José Alberto</t>
  </si>
  <si>
    <t xml:space="preserve">Pomasoncco Sulca</t>
  </si>
  <si>
    <t xml:space="preserve">Medrano Quispe</t>
  </si>
  <si>
    <t xml:space="preserve">Hector Edwardo</t>
  </si>
  <si>
    <t xml:space="preserve">Gonzales Romero</t>
  </si>
  <si>
    <t xml:space="preserve">Vladimir Omar</t>
  </si>
  <si>
    <t xml:space="preserve">Tasayco Pachas</t>
  </si>
  <si>
    <t xml:space="preserve">Jesus Martin</t>
  </si>
  <si>
    <t xml:space="preserve">Velasquez Llacza</t>
  </si>
  <si>
    <t xml:space="preserve">Nicolas Alexander</t>
  </si>
  <si>
    <t xml:space="preserve">Ochoa Since</t>
  </si>
  <si>
    <t xml:space="preserve">Samir</t>
  </si>
  <si>
    <t xml:space="preserve">Camargo Chagua</t>
  </si>
  <si>
    <t xml:space="preserve">Brandon Cristopher</t>
  </si>
  <si>
    <t xml:space="preserve">Tenorio Rodriguez</t>
  </si>
  <si>
    <t xml:space="preserve">Hector Manuel</t>
  </si>
  <si>
    <t xml:space="preserve">Ali Medina</t>
  </si>
  <si>
    <t xml:space="preserve">Amylee Kiara</t>
  </si>
  <si>
    <t xml:space="preserve">Philippines</t>
  </si>
  <si>
    <t xml:space="preserve">Te</t>
  </si>
  <si>
    <t xml:space="preserve">Jerome Austin</t>
  </si>
  <si>
    <t xml:space="preserve">Espocia</t>
  </si>
  <si>
    <t xml:space="preserve">Mateo Inigo</t>
  </si>
  <si>
    <t xml:space="preserve">Poh Leung</t>
  </si>
  <si>
    <t xml:space="preserve">Shaun Lawrence</t>
  </si>
  <si>
    <t xml:space="preserve">Briones</t>
  </si>
  <si>
    <t xml:space="preserve">Kody</t>
  </si>
  <si>
    <t xml:space="preserve">Albano</t>
  </si>
  <si>
    <t xml:space="preserve">Alessandro</t>
  </si>
  <si>
    <t xml:space="preserve">Uy</t>
  </si>
  <si>
    <t xml:space="preserve">Zion Skye Earl Carmelo</t>
  </si>
  <si>
    <t xml:space="preserve">Hernandez</t>
  </si>
  <si>
    <t xml:space="preserve">Jaden Nathan</t>
  </si>
  <si>
    <t xml:space="preserve">Neria</t>
  </si>
  <si>
    <t xml:space="preserve">Nathan Gabriel</t>
  </si>
  <si>
    <t xml:space="preserve">Ng</t>
  </si>
  <si>
    <t xml:space="preserve">Jared Cobe</t>
  </si>
  <si>
    <t xml:space="preserve">Robert Henrik</t>
  </si>
  <si>
    <t xml:space="preserve">Saudi Arabia</t>
  </si>
  <si>
    <t xml:space="preserve">Alsulami</t>
  </si>
  <si>
    <t xml:space="preserve">Abdulsalam</t>
  </si>
  <si>
    <t xml:space="preserve">Male</t>
  </si>
  <si>
    <t xml:space="preserve">Alfaraj</t>
  </si>
  <si>
    <t xml:space="preserve">Elyas</t>
  </si>
  <si>
    <t xml:space="preserve">Alkhalawi</t>
  </si>
  <si>
    <t xml:space="preserve">Yousef </t>
  </si>
  <si>
    <t xml:space="preserve">Assaggaf</t>
  </si>
  <si>
    <t xml:space="preserve">Abdulelah</t>
  </si>
  <si>
    <t xml:space="preserve">Shaiban</t>
  </si>
  <si>
    <t xml:space="preserve">Mohammed</t>
  </si>
  <si>
    <t xml:space="preserve">Alamer</t>
  </si>
  <si>
    <t xml:space="preserve">Abdullah</t>
  </si>
  <si>
    <t xml:space="preserve">Baqer</t>
  </si>
  <si>
    <t xml:space="preserve">Habibullah</t>
  </si>
  <si>
    <t xml:space="preserve">Yasir</t>
  </si>
  <si>
    <t xml:space="preserve">Mansour</t>
  </si>
  <si>
    <t xml:space="preserve">Abdulrahman</t>
  </si>
  <si>
    <t xml:space="preserve">Alhassan</t>
  </si>
  <si>
    <t xml:space="preserve">Singapore</t>
  </si>
  <si>
    <t xml:space="preserve">Thiagarajan</t>
  </si>
  <si>
    <t xml:space="preserve">Akash</t>
  </si>
  <si>
    <t xml:space="preserve">Wenyuan</t>
  </si>
  <si>
    <t xml:space="preserve">Haohan Ryker</t>
  </si>
  <si>
    <t xml:space="preserve">Yang</t>
  </si>
  <si>
    <t xml:space="preserve">Yihan</t>
  </si>
  <si>
    <t xml:space="preserve">Gao</t>
  </si>
  <si>
    <t xml:space="preserve">Zixiang</t>
  </si>
  <si>
    <t xml:space="preserve">Changjun</t>
  </si>
  <si>
    <t xml:space="preserve">Xiao</t>
  </si>
  <si>
    <t xml:space="preserve">Boyang Brian</t>
  </si>
  <si>
    <t xml:space="preserve">Tey</t>
  </si>
  <si>
    <t xml:space="preserve">Yi Xiang</t>
  </si>
  <si>
    <t xml:space="preserve">Naijie</t>
  </si>
  <si>
    <t xml:space="preserve">Xue</t>
  </si>
  <si>
    <t xml:space="preserve">Jinze</t>
  </si>
  <si>
    <t xml:space="preserve">Sri Lanka</t>
  </si>
  <si>
    <t xml:space="preserve">Athauda-Arachchi</t>
  </si>
  <si>
    <t xml:space="preserve">Praveen</t>
  </si>
  <si>
    <t xml:space="preserve">Herath</t>
  </si>
  <si>
    <t xml:space="preserve">Adithya</t>
  </si>
  <si>
    <t xml:space="preserve">Jayasinghe</t>
  </si>
  <si>
    <t xml:space="preserve">Lasitha</t>
  </si>
  <si>
    <t xml:space="preserve">Janith</t>
  </si>
  <si>
    <t xml:space="preserve">Rajawasala</t>
  </si>
  <si>
    <t xml:space="preserve">Senitha</t>
  </si>
  <si>
    <t xml:space="preserve">Senaratne</t>
  </si>
  <si>
    <t xml:space="preserve">Nisal</t>
  </si>
  <si>
    <t xml:space="preserve">Thejana</t>
  </si>
  <si>
    <t xml:space="preserve">Dinal</t>
  </si>
  <si>
    <t xml:space="preserve">Pathirana</t>
  </si>
  <si>
    <t xml:space="preserve">Tharuli</t>
  </si>
  <si>
    <t xml:space="preserve">Gunasingha</t>
  </si>
  <si>
    <t xml:space="preserve">Syria</t>
  </si>
  <si>
    <t xml:space="preserve">Farah</t>
  </si>
  <si>
    <t xml:space="preserve">Aboras</t>
  </si>
  <si>
    <t xml:space="preserve">Mohammad Nour</t>
  </si>
  <si>
    <t xml:space="preserve">Aldabbagh</t>
  </si>
  <si>
    <t xml:space="preserve">Okbah</t>
  </si>
  <si>
    <t xml:space="preserve">Mouzahem </t>
  </si>
  <si>
    <t xml:space="preserve">Mohamad </t>
  </si>
  <si>
    <t xml:space="preserve">Nashed</t>
  </si>
  <si>
    <t xml:space="preserve">srouji</t>
  </si>
  <si>
    <t xml:space="preserve">Mohammed deaa</t>
  </si>
  <si>
    <t xml:space="preserve">Alkhayer</t>
  </si>
  <si>
    <t xml:space="preserve">Mohammad</t>
  </si>
  <si>
    <t xml:space="preserve">Dalloul</t>
  </si>
  <si>
    <t xml:space="preserve">Aous</t>
  </si>
  <si>
    <t xml:space="preserve">Hussain</t>
  </si>
  <si>
    <t xml:space="preserve">Amjad</t>
  </si>
  <si>
    <t xml:space="preserve">Sheikh trab</t>
  </si>
  <si>
    <t xml:space="preserve">Hamzah</t>
  </si>
  <si>
    <t xml:space="preserve">Taiwan</t>
  </si>
  <si>
    <t xml:space="preserve">MA</t>
  </si>
  <si>
    <t xml:space="preserve">YU-CHEN</t>
  </si>
  <si>
    <t xml:space="preserve">WU</t>
  </si>
  <si>
    <t xml:space="preserve">SSU-CHIEN</t>
  </si>
  <si>
    <t xml:space="preserve">HUANG</t>
  </si>
  <si>
    <t xml:space="preserve">QI-ZHUN</t>
  </si>
  <si>
    <t xml:space="preserve">WANG</t>
  </si>
  <si>
    <t xml:space="preserve">YI-YONG</t>
  </si>
  <si>
    <t xml:space="preserve">LIN</t>
  </si>
  <si>
    <t xml:space="preserve">BING-KUN</t>
  </si>
  <si>
    <t xml:space="preserve">HU</t>
  </si>
  <si>
    <t xml:space="preserve">YU-CHENG</t>
  </si>
  <si>
    <t xml:space="preserve">PAN</t>
  </si>
  <si>
    <t xml:space="preserve">YU-JUI</t>
  </si>
  <si>
    <t xml:space="preserve">HSU</t>
  </si>
  <si>
    <t xml:space="preserve">TING-CHENG</t>
  </si>
  <si>
    <t xml:space="preserve">HSUAN-YU</t>
  </si>
  <si>
    <t xml:space="preserve">PIN-CHUN</t>
  </si>
  <si>
    <t xml:space="preserve">Tajikistan</t>
  </si>
  <si>
    <t xml:space="preserve">Tuhtarov</t>
  </si>
  <si>
    <t xml:space="preserve">Olimdzhon</t>
  </si>
  <si>
    <t xml:space="preserve">Saimuhudinzoda</t>
  </si>
  <si>
    <t xml:space="preserve">Muhammadidris</t>
  </si>
  <si>
    <t xml:space="preserve">Ilyoskhon</t>
  </si>
  <si>
    <t xml:space="preserve">Umarov</t>
  </si>
  <si>
    <t xml:space="preserve">Mehrubon</t>
  </si>
  <si>
    <t xml:space="preserve">Yusupov</t>
  </si>
  <si>
    <t xml:space="preserve">Imran</t>
  </si>
  <si>
    <t xml:space="preserve">Hamidov</t>
  </si>
  <si>
    <t xml:space="preserve">Benjamin</t>
  </si>
  <si>
    <t xml:space="preserve">Abdulloev</t>
  </si>
  <si>
    <t xml:space="preserve">Ahmadshoh</t>
  </si>
  <si>
    <t xml:space="preserve">Sadriddinzoda</t>
  </si>
  <si>
    <t xml:space="preserve">Usmoni</t>
  </si>
  <si>
    <t xml:space="preserve">Jamshed</t>
  </si>
  <si>
    <t xml:space="preserve">Ibrohim</t>
  </si>
  <si>
    <t xml:space="preserve">Khalifaev</t>
  </si>
  <si>
    <t xml:space="preserve">Biloli</t>
  </si>
  <si>
    <t xml:space="preserve">Bahtiyor</t>
  </si>
  <si>
    <t xml:space="preserve">Thailand</t>
  </si>
  <si>
    <t xml:space="preserve">Channarong</t>
  </si>
  <si>
    <t xml:space="preserve">Aphiwit</t>
  </si>
  <si>
    <t xml:space="preserve">Apintanaphong</t>
  </si>
  <si>
    <t xml:space="preserve">Napon</t>
  </si>
  <si>
    <t xml:space="preserve">Sicharoen</t>
  </si>
  <si>
    <t xml:space="preserve">Kiattipoom</t>
  </si>
  <si>
    <t xml:space="preserve">Ethan</t>
  </si>
  <si>
    <t xml:space="preserve">Wisitkiatchai</t>
  </si>
  <si>
    <t xml:space="preserve">Aekkawin</t>
  </si>
  <si>
    <t xml:space="preserve">Koomman</t>
  </si>
  <si>
    <t xml:space="preserve">Natakorn</t>
  </si>
  <si>
    <t xml:space="preserve">Kanchanaranya</t>
  </si>
  <si>
    <t xml:space="preserve">Pann</t>
  </si>
  <si>
    <t xml:space="preserve">Phutdee</t>
  </si>
  <si>
    <t xml:space="preserve">Jirapatch</t>
  </si>
  <si>
    <t xml:space="preserve">Poonsub</t>
  </si>
  <si>
    <t xml:space="preserve">Tulathorn</t>
  </si>
  <si>
    <t xml:space="preserve">Sawangsap</t>
  </si>
  <si>
    <t xml:space="preserve">Dawn</t>
  </si>
  <si>
    <t xml:space="preserve">Turkmenistan</t>
  </si>
  <si>
    <t xml:space="preserve">Meylismyradov</t>
  </si>
  <si>
    <t xml:space="preserve">Maliksha</t>
  </si>
  <si>
    <t xml:space="preserve">Gurbanov</t>
  </si>
  <si>
    <t xml:space="preserve">Hemra</t>
  </si>
  <si>
    <t xml:space="preserve">Orazov</t>
  </si>
  <si>
    <t xml:space="preserve">Yunus</t>
  </si>
  <si>
    <t xml:space="preserve">Hudayberenov</t>
  </si>
  <si>
    <t xml:space="preserve">Hudayguly</t>
  </si>
  <si>
    <t xml:space="preserve">Rejepov</t>
  </si>
  <si>
    <t xml:space="preserve">Rahym Okan</t>
  </si>
  <si>
    <t xml:space="preserve">Geldimammedov</t>
  </si>
  <si>
    <t xml:space="preserve">Soyunmuhammet</t>
  </si>
  <si>
    <t xml:space="preserve">Akmyradov</t>
  </si>
  <si>
    <t xml:space="preserve">Begench</t>
  </si>
  <si>
    <t xml:space="preserve">Gylyjov</t>
  </si>
  <si>
    <t xml:space="preserve">Akgylych</t>
  </si>
  <si>
    <t xml:space="preserve">Bagtyyarov</t>
  </si>
  <si>
    <t xml:space="preserve">Resul</t>
  </si>
  <si>
    <t xml:space="preserve">Dovletmyradov</t>
  </si>
  <si>
    <t xml:space="preserve">Rahymberdi</t>
  </si>
  <si>
    <t xml:space="preserve">United States of America</t>
  </si>
  <si>
    <t xml:space="preserve">Ruilin</t>
  </si>
  <si>
    <t xml:space="preserve">Oron</t>
  </si>
  <si>
    <t xml:space="preserve">Reddy</t>
  </si>
  <si>
    <t xml:space="preserve">Blitz</t>
  </si>
  <si>
    <t xml:space="preserve">Grant</t>
  </si>
  <si>
    <t xml:space="preserve">Jiahe</t>
  </si>
  <si>
    <t xml:space="preserve">Yevtushenko</t>
  </si>
  <si>
    <t xml:space="preserve">Feodor</t>
  </si>
  <si>
    <t xml:space="preserve">Fox</t>
  </si>
  <si>
    <t xml:space="preserve">Ge</t>
  </si>
  <si>
    <t xml:space="preserve">Uruguay</t>
  </si>
  <si>
    <t xml:space="preserve">Ramos</t>
  </si>
  <si>
    <t xml:space="preserve">Alfonso</t>
  </si>
  <si>
    <t xml:space="preserve">Lischbein</t>
  </si>
  <si>
    <t xml:space="preserve">Luca</t>
  </si>
  <si>
    <t xml:space="preserve">Correa</t>
  </si>
  <si>
    <t xml:space="preserve">Diego</t>
  </si>
  <si>
    <t xml:space="preserve">González</t>
  </si>
  <si>
    <t xml:space="preserve">Juan Martín</t>
  </si>
  <si>
    <t xml:space="preserve">Muxi</t>
  </si>
  <si>
    <t xml:space="preserve">Emilia</t>
  </si>
  <si>
    <t xml:space="preserve">Uzbekistan</t>
  </si>
  <si>
    <t xml:space="preserve">Ubaydullayev</t>
  </si>
  <si>
    <t xml:space="preserve">Umarbek</t>
  </si>
  <si>
    <t xml:space="preserve">Zohidjonov</t>
  </si>
  <si>
    <t xml:space="preserve">Elbek</t>
  </si>
  <si>
    <t xml:space="preserve">G‘afforov</t>
  </si>
  <si>
    <t xml:space="preserve">Rasulbek</t>
  </si>
  <si>
    <t xml:space="preserve">Mamajonov</t>
  </si>
  <si>
    <t xml:space="preserve">Azizbek</t>
  </si>
  <si>
    <t xml:space="preserve">Ravshanov</t>
  </si>
  <si>
    <t xml:space="preserve">Ashrafjon</t>
  </si>
  <si>
    <t xml:space="preserve">Anvarov</t>
  </si>
  <si>
    <t xml:space="preserve">Javohir</t>
  </si>
  <si>
    <t xml:space="preserve">Hayitboyev</t>
  </si>
  <si>
    <t xml:space="preserve">Farrux</t>
  </si>
  <si>
    <t xml:space="preserve">Matnazarov</t>
  </si>
  <si>
    <t xml:space="preserve">Sulaymon</t>
  </si>
  <si>
    <t xml:space="preserve">O‘ralov</t>
  </si>
  <si>
    <t xml:space="preserve">Elshod</t>
  </si>
  <si>
    <t xml:space="preserve">Rahmonqulov</t>
  </si>
  <si>
    <t xml:space="preserve">Doston</t>
  </si>
  <si>
    <t xml:space="preserve">Vietnam</t>
  </si>
  <si>
    <t xml:space="preserve">Trần </t>
  </si>
  <si>
    <t xml:space="preserve">Đại Thành Danh</t>
  </si>
  <si>
    <t xml:space="preserve">Phạm </t>
  </si>
  <si>
    <t xml:space="preserve">Đăng Nguyên</t>
  </si>
  <si>
    <t xml:space="preserve">Nguyễn</t>
  </si>
  <si>
    <t xml:space="preserve">Hoàng Phương</t>
  </si>
  <si>
    <t xml:space="preserve">Phan</t>
  </si>
  <si>
    <t xml:space="preserve">Thành Huy</t>
  </si>
  <si>
    <t xml:space="preserve">Anh Quân</t>
  </si>
  <si>
    <t xml:space="preserve">Đình Tùng</t>
  </si>
  <si>
    <t xml:space="preserve">Nguyễn </t>
  </si>
  <si>
    <t xml:space="preserve">Bảo Khánh</t>
  </si>
  <si>
    <t xml:space="preserve">Lưu</t>
  </si>
  <si>
    <t xml:space="preserve">Trọng Phúc</t>
  </si>
  <si>
    <t xml:space="preserve">Bùi</t>
  </si>
  <si>
    <t xml:space="preserve">Nhật Minh</t>
  </si>
  <si>
    <t xml:space="preserve">Võ</t>
  </si>
  <si>
    <t xml:space="preserve">Sỹ Quốc Anh</t>
  </si>
  <si>
    <t xml:space="preserve">More statistics: mean score and standard deviation of each problem</t>
  </si>
  <si>
    <t xml:space="preserve">Pb 1</t>
  </si>
  <si>
    <t xml:space="preserve">Pb2</t>
  </si>
  <si>
    <t xml:space="preserve">Pb3</t>
  </si>
  <si>
    <t xml:space="preserve">Pb4</t>
  </si>
  <si>
    <t xml:space="preserve">Pb 5</t>
  </si>
  <si>
    <t xml:space="preserve"> Number of observer countries</t>
  </si>
  <si>
    <t xml:space="preserve">Standard deviation</t>
  </si>
  <si>
    <t xml:space="preserve">Kosovo</t>
  </si>
  <si>
    <t xml:space="preserve">Hajrullahu</t>
  </si>
  <si>
    <t xml:space="preserve">Ajan</t>
  </si>
  <si>
    <t xml:space="preserve">Xhymshiti</t>
  </si>
  <si>
    <t xml:space="preserve">Vesa</t>
  </si>
  <si>
    <t xml:space="preserve">Haxholli</t>
  </si>
  <si>
    <t xml:space="preserve">Parid</t>
  </si>
  <si>
    <t xml:space="preserve">Deva</t>
  </si>
  <si>
    <t xml:space="preserve">Shpendi</t>
  </si>
  <si>
    <t xml:space="preserve">Ajvazi</t>
  </si>
  <si>
    <t xml:space="preserve">Olsi</t>
  </si>
  <si>
    <t xml:space="preserve">Juniku</t>
  </si>
  <si>
    <t xml:space="preserve">Ari</t>
  </si>
  <si>
    <t xml:space="preserve">Haziri</t>
  </si>
  <si>
    <t xml:space="preserve">Besnik</t>
  </si>
  <si>
    <t xml:space="preserve">Celina</t>
  </si>
  <si>
    <t xml:space="preserve">Lyron</t>
  </si>
  <si>
    <t xml:space="preserve">Nikçi</t>
  </si>
  <si>
    <t xml:space="preserve">Lekë</t>
  </si>
  <si>
    <t xml:space="preserve">Mirena</t>
  </si>
  <si>
    <t xml:space="preserve">Entela</t>
  </si>
  <si>
    <t xml:space="preserve">Rwanda</t>
  </si>
  <si>
    <t xml:space="preserve">Uwayezu Mugabo </t>
  </si>
  <si>
    <t xml:space="preserve">Herve</t>
  </si>
  <si>
    <t xml:space="preserve">Keza</t>
  </si>
  <si>
    <t xml:space="preserve">Sonia</t>
  </si>
  <si>
    <t xml:space="preserve">Ineza Flora </t>
  </si>
  <si>
    <t xml:space="preserve">Elyse</t>
  </si>
  <si>
    <t xml:space="preserve">Rugero Baruch </t>
  </si>
  <si>
    <t xml:space="preserve">Ervin</t>
  </si>
  <si>
    <t xml:space="preserve">Muturi Mulwa</t>
  </si>
  <si>
    <t xml:space="preserve">Baraka </t>
  </si>
  <si>
    <t xml:space="preserve">IRADUKIZA </t>
  </si>
  <si>
    <t xml:space="preserve">John Kenzi </t>
  </si>
  <si>
    <t xml:space="preserve">Musisi</t>
  </si>
  <si>
    <t xml:space="preserve">Samson</t>
  </si>
  <si>
    <t xml:space="preserve">Nkurunziza </t>
  </si>
  <si>
    <t xml:space="preserve">Faith </t>
  </si>
  <si>
    <t xml:space="preserve">HABIMANA  </t>
  </si>
  <si>
    <t xml:space="preserve">Prince Ferdinand</t>
  </si>
  <si>
    <t xml:space="preserve">HIRWA NGEZE </t>
  </si>
  <si>
    <t xml:space="preserve">PASCAL JUNIOR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</si>
</sst>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0"/>
    <numFmt numFmtId="167" formatCode="0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4"/>
      <color rgb="FF663333"/>
      <name val="Arial"/>
      <family val="0"/>
      <charset val="134"/>
    </font>
    <font>
      <b val="true"/>
      <sz val="12"/>
      <color rgb="FF663333"/>
      <name val="Arial"/>
      <family val="0"/>
      <charset val="134"/>
    </font>
    <font>
      <sz val="10"/>
      <name val="Arial"/>
      <family val="0"/>
      <charset val="1"/>
    </font>
    <font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BF00"/>
        <bgColor rgb="FFFF8000"/>
      </patternFill>
    </fill>
    <fill>
      <patternFill patternType="solid">
        <fgColor rgb="FF999999"/>
        <bgColor rgb="FF808080"/>
      </patternFill>
    </fill>
    <fill>
      <patternFill patternType="solid">
        <fgColor rgb="FFFF8000"/>
        <bgColor rgb="FFFF6600"/>
      </patternFill>
    </fill>
    <fill>
      <patternFill patternType="solid">
        <fgColor rgb="FFDDE8CB"/>
        <bgColor rgb="FFFFFFCC"/>
      </patternFill>
    </fill>
    <fill>
      <patternFill patternType="solid">
        <fgColor rgb="FFFFFFFF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 style="hair"/>
      <right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4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5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5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5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5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0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4" fillId="3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999999"/>
        </patternFill>
      </fill>
    </dxf>
    <dxf>
      <fill>
        <patternFill patternType="solid">
          <fgColor rgb="FFDDE8CB"/>
        </patternFill>
      </fill>
    </dxf>
    <dxf>
      <fill>
        <patternFill patternType="solid">
          <fgColor rgb="FFFF8000"/>
        </patternFill>
      </fill>
    </dxf>
    <dxf>
      <fill>
        <patternFill patternType="solid">
          <fgColor rgb="FFFFB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66333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80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66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rm_Responses" displayName="Form_Responses" ref="A1:J64" headerRowCount="1" totalsRowCount="0" totalsRowShown="0"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73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N278" activeCellId="0" sqref="N278"/>
    </sheetView>
  </sheetViews>
  <sheetFormatPr defaultColWidth="12.6328125" defaultRowHeight="12.75" zeroHeight="false" outlineLevelRow="0" outlineLevelCol="0"/>
  <cols>
    <col collapsed="false" customWidth="true" hidden="false" outlineLevel="0" max="1" min="1" style="1" width="15.61"/>
    <col collapsed="false" customWidth="true" hidden="false" outlineLevel="0" max="2" min="2" style="2" width="5.6"/>
    <col collapsed="false" customWidth="true" hidden="false" outlineLevel="0" max="3" min="3" style="3" width="20.93"/>
    <col collapsed="false" customWidth="true" hidden="false" outlineLevel="0" max="4" min="4" style="3" width="26.94"/>
    <col collapsed="false" customWidth="true" hidden="false" outlineLevel="0" max="5" min="5" style="4" width="5.32"/>
    <col collapsed="false" customWidth="true" hidden="false" outlineLevel="0" max="11" min="6" style="5" width="5.32"/>
    <col collapsed="false" customWidth="true" hidden="false" outlineLevel="0" max="12" min="12" style="2" width="5.32"/>
    <col collapsed="false" customWidth="true" hidden="false" outlineLevel="0" max="13" min="13" style="1" width="9.81"/>
    <col collapsed="false" customWidth="true" hidden="false" outlineLevel="0" max="16" min="14" style="1" width="18.87"/>
    <col collapsed="false" customWidth="false" hidden="false" outlineLevel="0" max="16384" min="17" style="1" width="12.63"/>
  </cols>
  <sheetData>
    <row r="1" customFormat="false" ht="22.5" hidden="false" customHeight="true" outlineLevel="0" collapsed="false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customFormat="false" ht="22.5" hidden="false" customHeight="true" outlineLevel="0" collapsed="false">
      <c r="D2" s="6" t="s">
        <v>10</v>
      </c>
    </row>
    <row r="3" customFormat="false" ht="22.5" hidden="false" customHeight="true" outlineLevel="0" collapsed="false">
      <c r="D3" s="7" t="s">
        <v>11</v>
      </c>
    </row>
    <row r="4" customFormat="false" ht="22.5" hidden="false" customHeight="true" outlineLevel="0" collapsed="false"/>
    <row r="5" customFormat="false" ht="22.5" hidden="false" customHeight="true" outlineLevel="0" collapsed="false"/>
    <row r="6" customFormat="false" ht="22.5" hidden="false" customHeight="true" outlineLevel="0" collapsed="false">
      <c r="A6" s="8"/>
      <c r="B6" s="8"/>
      <c r="C6" s="9"/>
      <c r="D6" s="9"/>
      <c r="E6" s="2"/>
    </row>
    <row r="7" customFormat="false" ht="22.5" hidden="false" customHeight="true" outlineLevel="0" collapsed="false">
      <c r="A7" s="8"/>
      <c r="B7" s="8"/>
      <c r="C7" s="9"/>
      <c r="D7" s="9"/>
      <c r="E7" s="2"/>
    </row>
    <row r="8" customFormat="false" ht="22.5" hidden="false" customHeight="true" outlineLevel="0" collapsed="false">
      <c r="A8" s="8" t="s">
        <v>12</v>
      </c>
      <c r="B8" s="8" t="n">
        <v>43</v>
      </c>
      <c r="C8" s="9"/>
      <c r="D8" s="9"/>
      <c r="E8" s="2"/>
    </row>
    <row r="9" customFormat="false" ht="22.5" hidden="false" customHeight="true" outlineLevel="0" collapsed="false">
      <c r="A9" s="8" t="s">
        <v>13</v>
      </c>
      <c r="B9" s="8" t="n">
        <v>397</v>
      </c>
      <c r="D9" s="3" t="s">
        <v>14</v>
      </c>
      <c r="E9" s="4" t="n">
        <f aca="false">E12+E13+E14</f>
        <v>166</v>
      </c>
      <c r="L9" s="4"/>
    </row>
    <row r="10" customFormat="false" ht="22.5" hidden="false" customHeight="true" outlineLevel="0" collapsed="false">
      <c r="A10" s="8" t="s">
        <v>15</v>
      </c>
      <c r="B10" s="8" t="n">
        <f aca="false">AVERAGE(K19:K415)</f>
        <v>13.5037783375315</v>
      </c>
      <c r="L10" s="4"/>
    </row>
    <row r="11" customFormat="false" ht="22.5" hidden="false" customHeight="true" outlineLevel="0" collapsed="false">
      <c r="A11" s="8" t="s">
        <v>16</v>
      </c>
      <c r="B11" s="8" t="n">
        <f aca="false">STDEV(K19:K415)</f>
        <v>8.06934033021801</v>
      </c>
      <c r="L11" s="4"/>
    </row>
    <row r="12" s="14" customFormat="true" ht="22.5" hidden="false" customHeight="true" outlineLevel="0" collapsed="false">
      <c r="A12" s="10" t="s">
        <v>17</v>
      </c>
      <c r="B12" s="10" t="n">
        <f aca="false">B10+B11</f>
        <v>21.5731186677495</v>
      </c>
      <c r="C12" s="11"/>
      <c r="D12" s="11" t="s">
        <v>18</v>
      </c>
      <c r="E12" s="12" t="n">
        <v>19</v>
      </c>
      <c r="F12" s="13"/>
      <c r="G12" s="13"/>
      <c r="H12" s="13"/>
      <c r="I12" s="13"/>
      <c r="J12" s="13"/>
      <c r="K12" s="13"/>
      <c r="L12" s="12"/>
    </row>
    <row r="13" s="19" customFormat="true" ht="22.5" hidden="false" customHeight="true" outlineLevel="0" collapsed="false">
      <c r="A13" s="15" t="s">
        <v>19</v>
      </c>
      <c r="B13" s="15" t="n">
        <f aca="false">B10+B11/3</f>
        <v>16.1935584476042</v>
      </c>
      <c r="C13" s="16"/>
      <c r="D13" s="16" t="s">
        <v>20</v>
      </c>
      <c r="E13" s="17" t="n">
        <v>41</v>
      </c>
      <c r="F13" s="18"/>
      <c r="G13" s="18"/>
      <c r="H13" s="18"/>
      <c r="I13" s="18"/>
      <c r="J13" s="18"/>
      <c r="K13" s="18"/>
      <c r="L13" s="17"/>
    </row>
    <row r="14" s="24" customFormat="true" ht="22.5" hidden="false" customHeight="true" outlineLevel="0" collapsed="false">
      <c r="A14" s="20" t="s">
        <v>21</v>
      </c>
      <c r="B14" s="20" t="n">
        <f aca="false">B10-B11/3</f>
        <v>10.8139982274588</v>
      </c>
      <c r="C14" s="21"/>
      <c r="D14" s="21" t="s">
        <v>22</v>
      </c>
      <c r="E14" s="22" t="n">
        <v>106</v>
      </c>
      <c r="F14" s="23"/>
      <c r="G14" s="23"/>
      <c r="H14" s="23"/>
      <c r="I14" s="23"/>
      <c r="J14" s="23"/>
      <c r="K14" s="23"/>
      <c r="L14" s="22"/>
    </row>
    <row r="15" s="29" customFormat="true" ht="22.5" hidden="false" customHeight="true" outlineLevel="0" collapsed="false">
      <c r="A15" s="25" t="s">
        <v>23</v>
      </c>
      <c r="B15" s="25" t="s">
        <v>24</v>
      </c>
      <c r="C15" s="26"/>
      <c r="D15" s="26" t="s">
        <v>25</v>
      </c>
      <c r="E15" s="27" t="n">
        <v>173</v>
      </c>
      <c r="F15" s="28"/>
      <c r="G15" s="28"/>
      <c r="H15" s="28"/>
      <c r="I15" s="28"/>
      <c r="J15" s="28"/>
      <c r="K15" s="28"/>
      <c r="L15" s="27"/>
    </row>
    <row r="16" customFormat="false" ht="22.5" hidden="false" customHeight="true" outlineLevel="0" collapsed="false">
      <c r="A16" s="30"/>
      <c r="B16" s="4"/>
      <c r="L16" s="4"/>
    </row>
    <row r="17" customFormat="false" ht="22.5" hidden="false" customHeight="true" outlineLevel="0" collapsed="false">
      <c r="A17" s="30"/>
      <c r="B17" s="4"/>
      <c r="L17" s="4"/>
    </row>
    <row r="18" customFormat="false" ht="22.5" hidden="false" customHeight="true" outlineLevel="0" collapsed="false">
      <c r="A18" s="31" t="s">
        <v>26</v>
      </c>
      <c r="B18" s="32" t="s">
        <v>27</v>
      </c>
      <c r="C18" s="33" t="s">
        <v>28</v>
      </c>
      <c r="D18" s="33" t="s">
        <v>29</v>
      </c>
      <c r="E18" s="32" t="s">
        <v>30</v>
      </c>
      <c r="F18" s="34" t="s">
        <v>31</v>
      </c>
      <c r="G18" s="34" t="s">
        <v>32</v>
      </c>
      <c r="H18" s="34" t="s">
        <v>33</v>
      </c>
      <c r="I18" s="34" t="s">
        <v>34</v>
      </c>
      <c r="J18" s="34" t="s">
        <v>35</v>
      </c>
      <c r="K18" s="34" t="s">
        <v>36</v>
      </c>
      <c r="L18" s="32" t="s">
        <v>37</v>
      </c>
      <c r="M18" s="31" t="s">
        <v>38</v>
      </c>
      <c r="N18" s="31" t="s">
        <v>39</v>
      </c>
      <c r="O18" s="31"/>
      <c r="P18" s="31"/>
    </row>
    <row r="19" s="31" customFormat="true" ht="22.15" hidden="false" customHeight="true" outlineLevel="0" collapsed="false">
      <c r="A19" s="24" t="s">
        <v>40</v>
      </c>
      <c r="B19" s="22" t="n">
        <v>1</v>
      </c>
      <c r="C19" s="21" t="s">
        <v>41</v>
      </c>
      <c r="D19" s="21" t="s">
        <v>42</v>
      </c>
      <c r="E19" s="22" t="s">
        <v>43</v>
      </c>
      <c r="F19" s="23" t="n">
        <v>7</v>
      </c>
      <c r="G19" s="23" t="n">
        <v>0</v>
      </c>
      <c r="H19" s="23" t="n">
        <v>7</v>
      </c>
      <c r="I19" s="23" t="n">
        <v>0</v>
      </c>
      <c r="J19" s="23" t="n">
        <v>0</v>
      </c>
      <c r="K19" s="23" t="n">
        <f aca="false">SUM(F19:J19)</f>
        <v>14</v>
      </c>
      <c r="L19" s="22" t="s">
        <v>44</v>
      </c>
      <c r="M19" s="24" t="n">
        <f aca="false">SUM(K19:K28)</f>
        <v>89</v>
      </c>
      <c r="N19" s="35" t="n">
        <v>27</v>
      </c>
      <c r="O19" s="35"/>
      <c r="P19" s="35"/>
    </row>
    <row r="20" s="35" customFormat="true" ht="22.15" hidden="false" customHeight="true" outlineLevel="0" collapsed="false">
      <c r="A20" s="24" t="s">
        <v>40</v>
      </c>
      <c r="B20" s="22" t="n">
        <v>2</v>
      </c>
      <c r="C20" s="21" t="s">
        <v>45</v>
      </c>
      <c r="D20" s="21" t="s">
        <v>46</v>
      </c>
      <c r="E20" s="22" t="s">
        <v>43</v>
      </c>
      <c r="F20" s="23" t="n">
        <v>7</v>
      </c>
      <c r="G20" s="23" t="n">
        <v>0</v>
      </c>
      <c r="H20" s="23" t="n">
        <v>6</v>
      </c>
      <c r="I20" s="23" t="n">
        <v>0</v>
      </c>
      <c r="J20" s="23" t="n">
        <v>0</v>
      </c>
      <c r="K20" s="23" t="n">
        <f aca="false">SUM(F20:J20)</f>
        <v>13</v>
      </c>
      <c r="L20" s="22" t="s">
        <v>44</v>
      </c>
    </row>
    <row r="21" s="35" customFormat="true" ht="22.15" hidden="false" customHeight="true" outlineLevel="0" collapsed="false">
      <c r="A21" s="36" t="s">
        <v>40</v>
      </c>
      <c r="B21" s="27" t="n">
        <v>3</v>
      </c>
      <c r="C21" s="26" t="s">
        <v>47</v>
      </c>
      <c r="D21" s="26" t="s">
        <v>48</v>
      </c>
      <c r="E21" s="27" t="s">
        <v>43</v>
      </c>
      <c r="F21" s="28" t="n">
        <v>7</v>
      </c>
      <c r="G21" s="28" t="n">
        <v>0</v>
      </c>
      <c r="H21" s="28" t="n">
        <v>2</v>
      </c>
      <c r="I21" s="28" t="n">
        <v>0</v>
      </c>
      <c r="J21" s="28" t="n">
        <v>0</v>
      </c>
      <c r="K21" s="28" t="n">
        <f aca="false">SUM(F21:J21)</f>
        <v>9</v>
      </c>
      <c r="L21" s="27" t="s">
        <v>49</v>
      </c>
      <c r="M21" s="29"/>
      <c r="N21" s="29"/>
      <c r="O21" s="29"/>
      <c r="P21" s="29"/>
    </row>
    <row r="22" s="29" customFormat="true" ht="22.15" hidden="false" customHeight="true" outlineLevel="0" collapsed="false">
      <c r="A22" s="36" t="s">
        <v>40</v>
      </c>
      <c r="B22" s="27" t="n">
        <v>4</v>
      </c>
      <c r="C22" s="26" t="s">
        <v>50</v>
      </c>
      <c r="D22" s="26" t="s">
        <v>51</v>
      </c>
      <c r="E22" s="27" t="s">
        <v>52</v>
      </c>
      <c r="F22" s="28" t="n">
        <v>7</v>
      </c>
      <c r="G22" s="28" t="n">
        <v>0</v>
      </c>
      <c r="H22" s="28" t="n">
        <v>2</v>
      </c>
      <c r="I22" s="28" t="n">
        <v>0</v>
      </c>
      <c r="J22" s="28" t="n">
        <v>0</v>
      </c>
      <c r="K22" s="28" t="n">
        <f aca="false">SUM(F22:J22)</f>
        <v>9</v>
      </c>
      <c r="L22" s="27" t="s">
        <v>49</v>
      </c>
    </row>
    <row r="23" s="29" customFormat="true" ht="22.15" hidden="false" customHeight="true" outlineLevel="0" collapsed="false">
      <c r="A23" s="36" t="s">
        <v>40</v>
      </c>
      <c r="B23" s="27" t="n">
        <v>5</v>
      </c>
      <c r="C23" s="26" t="s">
        <v>53</v>
      </c>
      <c r="D23" s="26" t="s">
        <v>54</v>
      </c>
      <c r="E23" s="27" t="s">
        <v>43</v>
      </c>
      <c r="F23" s="28" t="n">
        <v>7</v>
      </c>
      <c r="G23" s="28" t="n">
        <v>0</v>
      </c>
      <c r="H23" s="28" t="n">
        <v>2</v>
      </c>
      <c r="I23" s="28" t="n">
        <v>0</v>
      </c>
      <c r="J23" s="28" t="n">
        <v>0</v>
      </c>
      <c r="K23" s="28" t="n">
        <f aca="false">SUM(F23:J23)</f>
        <v>9</v>
      </c>
      <c r="L23" s="27" t="s">
        <v>49</v>
      </c>
    </row>
    <row r="24" s="29" customFormat="true" ht="22.15" hidden="false" customHeight="true" outlineLevel="0" collapsed="false">
      <c r="A24" s="36" t="s">
        <v>40</v>
      </c>
      <c r="B24" s="27" t="n">
        <v>6</v>
      </c>
      <c r="C24" s="26" t="s">
        <v>55</v>
      </c>
      <c r="D24" s="26" t="s">
        <v>56</v>
      </c>
      <c r="E24" s="27" t="s">
        <v>43</v>
      </c>
      <c r="F24" s="28" t="n">
        <v>7</v>
      </c>
      <c r="G24" s="28" t="n">
        <v>0</v>
      </c>
      <c r="H24" s="28" t="n">
        <v>0</v>
      </c>
      <c r="I24" s="28" t="n">
        <v>0</v>
      </c>
      <c r="J24" s="28" t="n">
        <v>0</v>
      </c>
      <c r="K24" s="28" t="n">
        <f aca="false">SUM(F24:J24)</f>
        <v>7</v>
      </c>
      <c r="L24" s="27" t="s">
        <v>49</v>
      </c>
    </row>
    <row r="25" s="29" customFormat="true" ht="22.15" hidden="false" customHeight="true" outlineLevel="0" collapsed="false">
      <c r="A25" s="36" t="s">
        <v>40</v>
      </c>
      <c r="B25" s="27" t="n">
        <v>7</v>
      </c>
      <c r="C25" s="26" t="s">
        <v>57</v>
      </c>
      <c r="D25" s="26" t="s">
        <v>58</v>
      </c>
      <c r="E25" s="27" t="s">
        <v>43</v>
      </c>
      <c r="F25" s="28" t="n">
        <v>7</v>
      </c>
      <c r="G25" s="28" t="n">
        <v>0</v>
      </c>
      <c r="H25" s="28" t="n">
        <v>0</v>
      </c>
      <c r="I25" s="28" t="n">
        <v>0</v>
      </c>
      <c r="J25" s="28" t="n">
        <v>0</v>
      </c>
      <c r="K25" s="28" t="n">
        <f aca="false">SUM(F25:J25)</f>
        <v>7</v>
      </c>
      <c r="L25" s="27" t="s">
        <v>49</v>
      </c>
    </row>
    <row r="26" s="29" customFormat="true" ht="22.15" hidden="false" customHeight="true" outlineLevel="0" collapsed="false">
      <c r="A26" s="36" t="s">
        <v>40</v>
      </c>
      <c r="B26" s="27" t="n">
        <v>8</v>
      </c>
      <c r="C26" s="26" t="s">
        <v>59</v>
      </c>
      <c r="D26" s="26" t="s">
        <v>60</v>
      </c>
      <c r="E26" s="27" t="s">
        <v>52</v>
      </c>
      <c r="F26" s="28" t="n">
        <v>7</v>
      </c>
      <c r="G26" s="28" t="n">
        <v>0</v>
      </c>
      <c r="H26" s="28" t="n">
        <v>0</v>
      </c>
      <c r="I26" s="28" t="n">
        <v>0</v>
      </c>
      <c r="J26" s="28" t="n">
        <v>0</v>
      </c>
      <c r="K26" s="28" t="n">
        <f aca="false">SUM(F26:J26)</f>
        <v>7</v>
      </c>
      <c r="L26" s="27" t="s">
        <v>49</v>
      </c>
    </row>
    <row r="27" s="29" customFormat="true" ht="22.15" hidden="false" customHeight="true" outlineLevel="0" collapsed="false">
      <c r="A27" s="36" t="s">
        <v>40</v>
      </c>
      <c r="B27" s="27" t="n">
        <v>9</v>
      </c>
      <c r="C27" s="26" t="s">
        <v>61</v>
      </c>
      <c r="D27" s="26" t="s">
        <v>62</v>
      </c>
      <c r="E27" s="27" t="s">
        <v>43</v>
      </c>
      <c r="F27" s="28" t="n">
        <v>7</v>
      </c>
      <c r="G27" s="28" t="n">
        <v>0</v>
      </c>
      <c r="H27" s="28" t="n">
        <v>0</v>
      </c>
      <c r="I27" s="28" t="n">
        <v>0</v>
      </c>
      <c r="J27" s="28" t="n">
        <v>0</v>
      </c>
      <c r="K27" s="28" t="n">
        <f aca="false">SUM(F27:J27)</f>
        <v>7</v>
      </c>
      <c r="L27" s="27" t="s">
        <v>49</v>
      </c>
    </row>
    <row r="28" s="29" customFormat="true" ht="22.15" hidden="false" customHeight="true" outlineLevel="0" collapsed="false">
      <c r="A28" s="36" t="s">
        <v>40</v>
      </c>
      <c r="B28" s="27" t="n">
        <v>10</v>
      </c>
      <c r="C28" s="26" t="s">
        <v>63</v>
      </c>
      <c r="D28" s="26" t="s">
        <v>64</v>
      </c>
      <c r="E28" s="27" t="s">
        <v>52</v>
      </c>
      <c r="F28" s="28" t="n">
        <v>7</v>
      </c>
      <c r="G28" s="28" t="n">
        <v>0</v>
      </c>
      <c r="H28" s="28" t="n">
        <v>0</v>
      </c>
      <c r="I28" s="28" t="n">
        <v>0</v>
      </c>
      <c r="J28" s="28" t="n">
        <v>0</v>
      </c>
      <c r="K28" s="28" t="n">
        <f aca="false">SUM(F28:J28)</f>
        <v>7</v>
      </c>
      <c r="L28" s="27" t="s">
        <v>49</v>
      </c>
      <c r="M28" s="36"/>
    </row>
    <row r="29" s="29" customFormat="true" ht="22.15" hidden="false" customHeight="true" outlineLevel="0" collapsed="false">
      <c r="A29" s="37" t="s">
        <v>65</v>
      </c>
      <c r="B29" s="12" t="n">
        <v>1</v>
      </c>
      <c r="C29" s="11" t="s">
        <v>66</v>
      </c>
      <c r="D29" s="11" t="s">
        <v>67</v>
      </c>
      <c r="E29" s="12" t="s">
        <v>43</v>
      </c>
      <c r="F29" s="13" t="n">
        <v>4</v>
      </c>
      <c r="G29" s="13" t="n">
        <v>7</v>
      </c>
      <c r="H29" s="13" t="n">
        <v>7</v>
      </c>
      <c r="I29" s="13" t="n">
        <v>0</v>
      </c>
      <c r="J29" s="13" t="n">
        <v>7</v>
      </c>
      <c r="K29" s="13" t="n">
        <f aca="false">SUM(F29:J29)</f>
        <v>25</v>
      </c>
      <c r="L29" s="12" t="s">
        <v>68</v>
      </c>
      <c r="M29" s="37" t="n">
        <f aca="false">SUM(K29:K38)</f>
        <v>172</v>
      </c>
      <c r="N29" s="14" t="n">
        <v>13</v>
      </c>
      <c r="O29" s="14"/>
      <c r="P29" s="14"/>
    </row>
    <row r="30" s="14" customFormat="true" ht="22.15" hidden="false" customHeight="true" outlineLevel="0" collapsed="false">
      <c r="A30" s="38" t="s">
        <v>65</v>
      </c>
      <c r="B30" s="17" t="n">
        <v>2</v>
      </c>
      <c r="C30" s="16" t="s">
        <v>69</v>
      </c>
      <c r="D30" s="16" t="s">
        <v>70</v>
      </c>
      <c r="E30" s="17" t="s">
        <v>43</v>
      </c>
      <c r="F30" s="18" t="n">
        <v>7</v>
      </c>
      <c r="G30" s="18" t="n">
        <v>0</v>
      </c>
      <c r="H30" s="18" t="n">
        <v>7</v>
      </c>
      <c r="I30" s="18" t="n">
        <v>7</v>
      </c>
      <c r="J30" s="18" t="n">
        <v>3</v>
      </c>
      <c r="K30" s="18" t="n">
        <f aca="false">SUM(F30:J30)</f>
        <v>24</v>
      </c>
      <c r="L30" s="17" t="s">
        <v>71</v>
      </c>
      <c r="M30" s="19"/>
      <c r="N30" s="19"/>
      <c r="O30" s="19"/>
      <c r="P30" s="19"/>
    </row>
    <row r="31" s="19" customFormat="true" ht="22.15" hidden="false" customHeight="true" outlineLevel="0" collapsed="false">
      <c r="A31" s="38" t="s">
        <v>65</v>
      </c>
      <c r="B31" s="17" t="n">
        <v>3</v>
      </c>
      <c r="C31" s="16" t="s">
        <v>72</v>
      </c>
      <c r="D31" s="16" t="s">
        <v>73</v>
      </c>
      <c r="E31" s="17" t="s">
        <v>43</v>
      </c>
      <c r="F31" s="18" t="n">
        <v>7</v>
      </c>
      <c r="G31" s="18" t="n">
        <v>7</v>
      </c>
      <c r="H31" s="18" t="n">
        <v>7</v>
      </c>
      <c r="I31" s="18" t="n">
        <v>0</v>
      </c>
      <c r="J31" s="18" t="n">
        <v>0</v>
      </c>
      <c r="K31" s="18" t="n">
        <f aca="false">SUM(F31:J31)</f>
        <v>21</v>
      </c>
      <c r="L31" s="17" t="s">
        <v>71</v>
      </c>
    </row>
    <row r="32" s="19" customFormat="true" ht="22.15" hidden="false" customHeight="true" outlineLevel="0" collapsed="false">
      <c r="A32" s="24" t="s">
        <v>65</v>
      </c>
      <c r="B32" s="22" t="n">
        <v>4</v>
      </c>
      <c r="C32" s="21" t="s">
        <v>74</v>
      </c>
      <c r="D32" s="21" t="s">
        <v>75</v>
      </c>
      <c r="E32" s="22" t="s">
        <v>43</v>
      </c>
      <c r="F32" s="23" t="n">
        <v>7</v>
      </c>
      <c r="G32" s="23" t="n">
        <v>7</v>
      </c>
      <c r="H32" s="23" t="n">
        <v>7</v>
      </c>
      <c r="I32" s="23" t="n">
        <v>0</v>
      </c>
      <c r="J32" s="23" t="n">
        <v>0</v>
      </c>
      <c r="K32" s="23" t="n">
        <f aca="false">SUM(F32:J32)</f>
        <v>21</v>
      </c>
      <c r="L32" s="22" t="s">
        <v>44</v>
      </c>
      <c r="M32" s="35"/>
      <c r="N32" s="35"/>
      <c r="O32" s="35"/>
      <c r="P32" s="35"/>
    </row>
    <row r="33" s="35" customFormat="true" ht="22.15" hidden="false" customHeight="true" outlineLevel="0" collapsed="false">
      <c r="A33" s="24" t="s">
        <v>65</v>
      </c>
      <c r="B33" s="22" t="n">
        <v>5</v>
      </c>
      <c r="C33" s="21" t="s">
        <v>76</v>
      </c>
      <c r="D33" s="21" t="s">
        <v>77</v>
      </c>
      <c r="E33" s="22" t="s">
        <v>43</v>
      </c>
      <c r="F33" s="23" t="n">
        <v>7</v>
      </c>
      <c r="G33" s="23" t="n">
        <v>7</v>
      </c>
      <c r="H33" s="23" t="n">
        <v>6</v>
      </c>
      <c r="I33" s="23" t="n">
        <v>1</v>
      </c>
      <c r="J33" s="23" t="n">
        <v>0</v>
      </c>
      <c r="K33" s="23" t="n">
        <f aca="false">SUM(F33:J33)</f>
        <v>21</v>
      </c>
      <c r="L33" s="22" t="s">
        <v>44</v>
      </c>
    </row>
    <row r="34" s="35" customFormat="true" ht="22.15" hidden="false" customHeight="true" outlineLevel="0" collapsed="false">
      <c r="A34" s="24" t="s">
        <v>65</v>
      </c>
      <c r="B34" s="22" t="n">
        <v>6</v>
      </c>
      <c r="C34" s="21" t="s">
        <v>78</v>
      </c>
      <c r="D34" s="21" t="s">
        <v>79</v>
      </c>
      <c r="E34" s="22" t="s">
        <v>43</v>
      </c>
      <c r="F34" s="23" t="n">
        <v>7</v>
      </c>
      <c r="G34" s="23" t="n">
        <v>0</v>
      </c>
      <c r="H34" s="23" t="n">
        <v>5</v>
      </c>
      <c r="I34" s="23" t="n">
        <v>7</v>
      </c>
      <c r="J34" s="23" t="n">
        <v>0</v>
      </c>
      <c r="K34" s="23" t="n">
        <f aca="false">SUM(F34:J34)</f>
        <v>19</v>
      </c>
      <c r="L34" s="22" t="s">
        <v>44</v>
      </c>
    </row>
    <row r="35" s="35" customFormat="true" ht="22.15" hidden="false" customHeight="true" outlineLevel="0" collapsed="false">
      <c r="A35" s="24" t="s">
        <v>65</v>
      </c>
      <c r="B35" s="22" t="n">
        <v>7</v>
      </c>
      <c r="C35" s="21" t="s">
        <v>80</v>
      </c>
      <c r="D35" s="21" t="s">
        <v>81</v>
      </c>
      <c r="E35" s="22" t="s">
        <v>52</v>
      </c>
      <c r="F35" s="23" t="n">
        <v>7</v>
      </c>
      <c r="G35" s="23" t="n">
        <v>0</v>
      </c>
      <c r="H35" s="23" t="n">
        <v>7</v>
      </c>
      <c r="I35" s="23" t="n">
        <v>0</v>
      </c>
      <c r="J35" s="23" t="n">
        <v>0</v>
      </c>
      <c r="K35" s="23" t="n">
        <f aca="false">SUM(F35:J35)</f>
        <v>14</v>
      </c>
      <c r="L35" s="22" t="s">
        <v>44</v>
      </c>
    </row>
    <row r="36" s="35" customFormat="true" ht="22.15" hidden="false" customHeight="true" outlineLevel="0" collapsed="false">
      <c r="A36" s="36" t="s">
        <v>65</v>
      </c>
      <c r="B36" s="27" t="n">
        <v>8</v>
      </c>
      <c r="C36" s="26" t="s">
        <v>82</v>
      </c>
      <c r="D36" s="26" t="s">
        <v>83</v>
      </c>
      <c r="E36" s="27" t="s">
        <v>43</v>
      </c>
      <c r="F36" s="28" t="n">
        <v>6</v>
      </c>
      <c r="G36" s="28" t="n">
        <v>0</v>
      </c>
      <c r="H36" s="28" t="n">
        <v>7</v>
      </c>
      <c r="I36" s="28" t="n">
        <v>0</v>
      </c>
      <c r="J36" s="28" t="n">
        <v>0</v>
      </c>
      <c r="K36" s="28" t="n">
        <f aca="false">SUM(F36:J36)</f>
        <v>13</v>
      </c>
      <c r="L36" s="27" t="s">
        <v>49</v>
      </c>
      <c r="M36" s="29"/>
      <c r="N36" s="29"/>
      <c r="O36" s="29"/>
      <c r="P36" s="29"/>
    </row>
    <row r="37" s="29" customFormat="true" ht="22.15" hidden="false" customHeight="true" outlineLevel="0" collapsed="false">
      <c r="A37" s="36" t="s">
        <v>65</v>
      </c>
      <c r="B37" s="27" t="n">
        <v>9</v>
      </c>
      <c r="C37" s="26" t="s">
        <v>84</v>
      </c>
      <c r="D37" s="26" t="s">
        <v>85</v>
      </c>
      <c r="E37" s="27" t="s">
        <v>43</v>
      </c>
      <c r="F37" s="28" t="n">
        <v>7</v>
      </c>
      <c r="G37" s="28" t="n">
        <v>0</v>
      </c>
      <c r="H37" s="28" t="n">
        <v>0</v>
      </c>
      <c r="I37" s="28" t="n">
        <v>0</v>
      </c>
      <c r="J37" s="28" t="n">
        <v>0</v>
      </c>
      <c r="K37" s="28" t="n">
        <f aca="false">SUM(F37:J37)</f>
        <v>7</v>
      </c>
      <c r="L37" s="27" t="s">
        <v>49</v>
      </c>
    </row>
    <row r="38" s="29" customFormat="true" ht="22.15" hidden="false" customHeight="true" outlineLevel="0" collapsed="false">
      <c r="A38" s="30" t="s">
        <v>65</v>
      </c>
      <c r="B38" s="4" t="n">
        <v>10</v>
      </c>
      <c r="C38" s="3" t="s">
        <v>86</v>
      </c>
      <c r="D38" s="3" t="s">
        <v>87</v>
      </c>
      <c r="E38" s="4" t="s">
        <v>52</v>
      </c>
      <c r="F38" s="5" t="n">
        <v>6</v>
      </c>
      <c r="G38" s="5" t="n">
        <v>0</v>
      </c>
      <c r="H38" s="5" t="n">
        <v>0</v>
      </c>
      <c r="I38" s="5" t="n">
        <v>1</v>
      </c>
      <c r="J38" s="5" t="n">
        <v>0</v>
      </c>
      <c r="K38" s="5" t="n">
        <f aca="false">SUM(F38:J38)</f>
        <v>7</v>
      </c>
      <c r="L38" s="4"/>
      <c r="M38" s="1"/>
      <c r="N38" s="1"/>
      <c r="O38" s="1"/>
      <c r="P38" s="1"/>
    </row>
    <row r="39" customFormat="false" ht="22.15" hidden="false" customHeight="true" outlineLevel="0" collapsed="false">
      <c r="A39" s="24" t="s">
        <v>88</v>
      </c>
      <c r="B39" s="22" t="n">
        <v>1</v>
      </c>
      <c r="C39" s="21" t="s">
        <v>89</v>
      </c>
      <c r="D39" s="21" t="s">
        <v>90</v>
      </c>
      <c r="E39" s="22" t="s">
        <v>43</v>
      </c>
      <c r="F39" s="23" t="n">
        <v>7</v>
      </c>
      <c r="G39" s="23" t="n">
        <v>0</v>
      </c>
      <c r="H39" s="23" t="n">
        <v>7</v>
      </c>
      <c r="I39" s="23" t="n">
        <v>1</v>
      </c>
      <c r="J39" s="23" t="n">
        <v>0</v>
      </c>
      <c r="K39" s="23" t="n">
        <v>15</v>
      </c>
      <c r="L39" s="22" t="s">
        <v>44</v>
      </c>
      <c r="M39" s="24" t="n">
        <f aca="false">SUM(K39:K48)</f>
        <v>84</v>
      </c>
      <c r="N39" s="35" t="n">
        <v>30</v>
      </c>
      <c r="O39" s="35"/>
      <c r="P39" s="35"/>
    </row>
    <row r="40" s="35" customFormat="true" ht="22.15" hidden="false" customHeight="true" outlineLevel="0" collapsed="false">
      <c r="A40" s="24" t="s">
        <v>88</v>
      </c>
      <c r="B40" s="22" t="n">
        <v>2</v>
      </c>
      <c r="C40" s="21" t="s">
        <v>91</v>
      </c>
      <c r="D40" s="21" t="s">
        <v>92</v>
      </c>
      <c r="E40" s="22" t="s">
        <v>52</v>
      </c>
      <c r="F40" s="23" t="n">
        <v>7</v>
      </c>
      <c r="G40" s="23" t="n">
        <v>0</v>
      </c>
      <c r="H40" s="23" t="n">
        <v>4</v>
      </c>
      <c r="I40" s="23" t="n">
        <v>0</v>
      </c>
      <c r="J40" s="23" t="n">
        <v>0</v>
      </c>
      <c r="K40" s="23" t="n">
        <v>11</v>
      </c>
      <c r="L40" s="22" t="s">
        <v>44</v>
      </c>
    </row>
    <row r="41" s="35" customFormat="true" ht="22.15" hidden="false" customHeight="true" outlineLevel="0" collapsed="false">
      <c r="A41" s="36" t="s">
        <v>88</v>
      </c>
      <c r="B41" s="27" t="n">
        <v>3</v>
      </c>
      <c r="C41" s="26" t="s">
        <v>93</v>
      </c>
      <c r="D41" s="26" t="s">
        <v>94</v>
      </c>
      <c r="E41" s="27" t="s">
        <v>43</v>
      </c>
      <c r="F41" s="28" t="n">
        <v>7</v>
      </c>
      <c r="G41" s="28" t="n">
        <v>0</v>
      </c>
      <c r="H41" s="28" t="n">
        <v>1</v>
      </c>
      <c r="I41" s="28" t="n">
        <v>0</v>
      </c>
      <c r="J41" s="28" t="n">
        <v>0</v>
      </c>
      <c r="K41" s="28" t="n">
        <v>8</v>
      </c>
      <c r="L41" s="27" t="s">
        <v>49</v>
      </c>
      <c r="M41" s="29"/>
      <c r="N41" s="29"/>
      <c r="O41" s="29"/>
      <c r="P41" s="29"/>
    </row>
    <row r="42" s="29" customFormat="true" ht="22.15" hidden="false" customHeight="true" outlineLevel="0" collapsed="false">
      <c r="A42" s="36" t="s">
        <v>88</v>
      </c>
      <c r="B42" s="27" t="n">
        <v>4</v>
      </c>
      <c r="C42" s="26" t="s">
        <v>95</v>
      </c>
      <c r="D42" s="26" t="s">
        <v>96</v>
      </c>
      <c r="E42" s="27" t="s">
        <v>43</v>
      </c>
      <c r="F42" s="28" t="n">
        <v>7</v>
      </c>
      <c r="G42" s="28" t="n">
        <v>1</v>
      </c>
      <c r="H42" s="28" t="n">
        <v>0</v>
      </c>
      <c r="I42" s="28" t="n">
        <v>0</v>
      </c>
      <c r="J42" s="28" t="n">
        <v>0</v>
      </c>
      <c r="K42" s="28" t="n">
        <v>8</v>
      </c>
      <c r="L42" s="27" t="s">
        <v>49</v>
      </c>
    </row>
    <row r="43" s="29" customFormat="true" ht="22.15" hidden="false" customHeight="true" outlineLevel="0" collapsed="false">
      <c r="A43" s="36" t="s">
        <v>88</v>
      </c>
      <c r="B43" s="27" t="n">
        <v>5</v>
      </c>
      <c r="C43" s="26" t="s">
        <v>97</v>
      </c>
      <c r="D43" s="26" t="s">
        <v>98</v>
      </c>
      <c r="E43" s="27" t="s">
        <v>43</v>
      </c>
      <c r="F43" s="28" t="n">
        <v>7</v>
      </c>
      <c r="G43" s="28" t="n">
        <v>0</v>
      </c>
      <c r="H43" s="28" t="n">
        <v>0</v>
      </c>
      <c r="I43" s="28" t="n">
        <v>0</v>
      </c>
      <c r="J43" s="28" t="n">
        <v>0</v>
      </c>
      <c r="K43" s="28" t="n">
        <v>7</v>
      </c>
      <c r="L43" s="27" t="s">
        <v>49</v>
      </c>
    </row>
    <row r="44" s="29" customFormat="true" ht="22.15" hidden="false" customHeight="true" outlineLevel="0" collapsed="false">
      <c r="A44" s="36" t="s">
        <v>88</v>
      </c>
      <c r="B44" s="27" t="n">
        <v>6</v>
      </c>
      <c r="C44" s="26" t="s">
        <v>99</v>
      </c>
      <c r="D44" s="26" t="s">
        <v>100</v>
      </c>
      <c r="E44" s="27" t="s">
        <v>43</v>
      </c>
      <c r="F44" s="28" t="n">
        <v>7</v>
      </c>
      <c r="G44" s="28" t="n">
        <v>0</v>
      </c>
      <c r="H44" s="28" t="n">
        <v>0</v>
      </c>
      <c r="I44" s="28" t="n">
        <v>0</v>
      </c>
      <c r="J44" s="28" t="n">
        <v>0</v>
      </c>
      <c r="K44" s="28" t="n">
        <v>7</v>
      </c>
      <c r="L44" s="27" t="s">
        <v>49</v>
      </c>
    </row>
    <row r="45" s="29" customFormat="true" ht="22.15" hidden="false" customHeight="true" outlineLevel="0" collapsed="false">
      <c r="A45" s="36" t="s">
        <v>88</v>
      </c>
      <c r="B45" s="27" t="n">
        <v>7</v>
      </c>
      <c r="C45" s="26" t="s">
        <v>101</v>
      </c>
      <c r="D45" s="26" t="s">
        <v>102</v>
      </c>
      <c r="E45" s="27" t="s">
        <v>43</v>
      </c>
      <c r="F45" s="28" t="n">
        <v>7</v>
      </c>
      <c r="G45" s="28" t="n">
        <v>0</v>
      </c>
      <c r="H45" s="28" t="n">
        <v>0</v>
      </c>
      <c r="I45" s="28" t="n">
        <v>0</v>
      </c>
      <c r="J45" s="28" t="n">
        <v>0</v>
      </c>
      <c r="K45" s="28" t="n">
        <v>7</v>
      </c>
      <c r="L45" s="27" t="s">
        <v>49</v>
      </c>
    </row>
    <row r="46" s="29" customFormat="true" ht="22.15" hidden="false" customHeight="true" outlineLevel="0" collapsed="false">
      <c r="A46" s="36" t="s">
        <v>88</v>
      </c>
      <c r="B46" s="27" t="n">
        <v>8</v>
      </c>
      <c r="C46" s="26" t="s">
        <v>103</v>
      </c>
      <c r="D46" s="26" t="s">
        <v>104</v>
      </c>
      <c r="E46" s="27" t="s">
        <v>43</v>
      </c>
      <c r="F46" s="28" t="n">
        <v>7</v>
      </c>
      <c r="G46" s="28" t="n">
        <v>0</v>
      </c>
      <c r="H46" s="28" t="n">
        <v>0</v>
      </c>
      <c r="I46" s="28" t="n">
        <v>0</v>
      </c>
      <c r="J46" s="28" t="n">
        <v>0</v>
      </c>
      <c r="K46" s="28" t="n">
        <v>7</v>
      </c>
      <c r="L46" s="27" t="s">
        <v>49</v>
      </c>
    </row>
    <row r="47" s="29" customFormat="true" ht="22.15" hidden="false" customHeight="true" outlineLevel="0" collapsed="false">
      <c r="A47" s="36" t="s">
        <v>88</v>
      </c>
      <c r="B47" s="27" t="n">
        <v>9</v>
      </c>
      <c r="C47" s="26" t="s">
        <v>105</v>
      </c>
      <c r="D47" s="26" t="s">
        <v>106</v>
      </c>
      <c r="E47" s="27" t="s">
        <v>52</v>
      </c>
      <c r="F47" s="28" t="n">
        <v>7</v>
      </c>
      <c r="G47" s="28" t="n">
        <v>0</v>
      </c>
      <c r="H47" s="28" t="n">
        <v>0</v>
      </c>
      <c r="I47" s="28" t="n">
        <v>0</v>
      </c>
      <c r="J47" s="28" t="n">
        <v>0</v>
      </c>
      <c r="K47" s="28" t="n">
        <v>7</v>
      </c>
      <c r="L47" s="27" t="s">
        <v>49</v>
      </c>
    </row>
    <row r="48" s="29" customFormat="true" ht="22.15" hidden="false" customHeight="true" outlineLevel="0" collapsed="false">
      <c r="A48" s="36" t="s">
        <v>88</v>
      </c>
      <c r="B48" s="27" t="n">
        <v>10</v>
      </c>
      <c r="C48" s="26" t="s">
        <v>107</v>
      </c>
      <c r="D48" s="26" t="s">
        <v>108</v>
      </c>
      <c r="E48" s="27" t="s">
        <v>43</v>
      </c>
      <c r="F48" s="28" t="n">
        <v>7</v>
      </c>
      <c r="G48" s="28" t="n">
        <v>0</v>
      </c>
      <c r="H48" s="28" t="n">
        <v>0</v>
      </c>
      <c r="I48" s="28" t="n">
        <v>0</v>
      </c>
      <c r="J48" s="28" t="n">
        <v>0</v>
      </c>
      <c r="K48" s="28" t="n">
        <v>7</v>
      </c>
      <c r="L48" s="27" t="s">
        <v>49</v>
      </c>
    </row>
    <row r="49" s="29" customFormat="true" ht="22.15" hidden="false" customHeight="true" outlineLevel="0" collapsed="false">
      <c r="A49" s="37" t="s">
        <v>109</v>
      </c>
      <c r="B49" s="12" t="n">
        <v>1</v>
      </c>
      <c r="C49" s="11" t="s">
        <v>110</v>
      </c>
      <c r="D49" s="11" t="s">
        <v>111</v>
      </c>
      <c r="E49" s="12" t="s">
        <v>43</v>
      </c>
      <c r="F49" s="13" t="n">
        <v>7</v>
      </c>
      <c r="G49" s="13" t="n">
        <v>7</v>
      </c>
      <c r="H49" s="13" t="n">
        <v>7</v>
      </c>
      <c r="I49" s="13" t="n">
        <v>7</v>
      </c>
      <c r="J49" s="13" t="n">
        <v>0</v>
      </c>
      <c r="K49" s="13" t="n">
        <f aca="false">SUM(F49:J49)</f>
        <v>28</v>
      </c>
      <c r="L49" s="12" t="s">
        <v>68</v>
      </c>
      <c r="M49" s="37" t="n">
        <f aca="false">SUM(K49:K55)</f>
        <v>54</v>
      </c>
      <c r="N49" s="14" t="n">
        <v>35</v>
      </c>
      <c r="O49" s="14"/>
      <c r="P49" s="14"/>
    </row>
    <row r="50" s="14" customFormat="true" ht="22.15" hidden="false" customHeight="true" outlineLevel="0" collapsed="false">
      <c r="A50" s="36" t="s">
        <v>109</v>
      </c>
      <c r="B50" s="27" t="n">
        <v>2</v>
      </c>
      <c r="C50" s="26" t="s">
        <v>112</v>
      </c>
      <c r="D50" s="26" t="s">
        <v>113</v>
      </c>
      <c r="E50" s="27" t="s">
        <v>52</v>
      </c>
      <c r="F50" s="28" t="n">
        <v>2</v>
      </c>
      <c r="G50" s="28" t="n">
        <v>0</v>
      </c>
      <c r="H50" s="28" t="n">
        <v>7</v>
      </c>
      <c r="I50" s="28" t="n">
        <v>0</v>
      </c>
      <c r="J50" s="28" t="n">
        <v>0</v>
      </c>
      <c r="K50" s="28" t="n">
        <f aca="false">SUM(F50:J50)</f>
        <v>9</v>
      </c>
      <c r="L50" s="27" t="s">
        <v>49</v>
      </c>
      <c r="M50" s="29"/>
      <c r="N50" s="29"/>
      <c r="O50" s="29"/>
      <c r="P50" s="29"/>
    </row>
    <row r="51" s="29" customFormat="true" ht="22.15" hidden="false" customHeight="true" outlineLevel="0" collapsed="false">
      <c r="A51" s="36" t="s">
        <v>109</v>
      </c>
      <c r="B51" s="27" t="n">
        <v>3</v>
      </c>
      <c r="C51" s="26" t="s">
        <v>114</v>
      </c>
      <c r="D51" s="26" t="s">
        <v>115</v>
      </c>
      <c r="E51" s="27" t="s">
        <v>43</v>
      </c>
      <c r="F51" s="28" t="n">
        <v>7</v>
      </c>
      <c r="G51" s="28" t="n">
        <v>0</v>
      </c>
      <c r="H51" s="28" t="n">
        <v>0</v>
      </c>
      <c r="I51" s="28" t="n">
        <v>0</v>
      </c>
      <c r="J51" s="28" t="n">
        <v>0</v>
      </c>
      <c r="K51" s="28" t="n">
        <f aca="false">SUM(F51:J51)</f>
        <v>7</v>
      </c>
      <c r="L51" s="27" t="s">
        <v>49</v>
      </c>
    </row>
    <row r="52" s="29" customFormat="true" ht="22.15" hidden="false" customHeight="true" outlineLevel="0" collapsed="false">
      <c r="A52" s="36" t="s">
        <v>109</v>
      </c>
      <c r="B52" s="27" t="n">
        <v>4</v>
      </c>
      <c r="C52" s="26" t="s">
        <v>116</v>
      </c>
      <c r="D52" s="26" t="s">
        <v>117</v>
      </c>
      <c r="E52" s="27" t="s">
        <v>43</v>
      </c>
      <c r="F52" s="28" t="n">
        <v>7</v>
      </c>
      <c r="G52" s="28" t="n">
        <v>0</v>
      </c>
      <c r="H52" s="28" t="n">
        <v>0</v>
      </c>
      <c r="I52" s="28" t="n">
        <v>0</v>
      </c>
      <c r="J52" s="28" t="n">
        <v>0</v>
      </c>
      <c r="K52" s="28" t="n">
        <f aca="false">SUM(F52:J52)</f>
        <v>7</v>
      </c>
      <c r="L52" s="27" t="s">
        <v>49</v>
      </c>
    </row>
    <row r="53" s="29" customFormat="true" ht="22.15" hidden="false" customHeight="true" outlineLevel="0" collapsed="false">
      <c r="A53" s="30" t="s">
        <v>109</v>
      </c>
      <c r="B53" s="4" t="n">
        <v>5</v>
      </c>
      <c r="C53" s="3" t="s">
        <v>118</v>
      </c>
      <c r="D53" s="3" t="s">
        <v>119</v>
      </c>
      <c r="E53" s="4" t="s">
        <v>43</v>
      </c>
      <c r="F53" s="5" t="n">
        <v>0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f aca="false">SUM(F53:J53)</f>
        <v>1</v>
      </c>
      <c r="L53" s="4"/>
      <c r="M53" s="1"/>
      <c r="N53" s="1"/>
      <c r="O53" s="1"/>
      <c r="P53" s="1"/>
    </row>
    <row r="54" customFormat="false" ht="22.15" hidden="false" customHeight="true" outlineLevel="0" collapsed="false">
      <c r="A54" s="30" t="s">
        <v>109</v>
      </c>
      <c r="B54" s="4" t="n">
        <v>6</v>
      </c>
      <c r="C54" s="3" t="s">
        <v>120</v>
      </c>
      <c r="D54" s="3" t="s">
        <v>121</v>
      </c>
      <c r="E54" s="4" t="s">
        <v>43</v>
      </c>
      <c r="F54" s="5" t="n">
        <v>0</v>
      </c>
      <c r="G54" s="5" t="n">
        <v>0</v>
      </c>
      <c r="H54" s="5" t="n">
        <v>0</v>
      </c>
      <c r="I54" s="5" t="n">
        <v>1</v>
      </c>
      <c r="J54" s="5" t="n">
        <v>0</v>
      </c>
      <c r="K54" s="5" t="n">
        <f aca="false">SUM(F54:J54)</f>
        <v>1</v>
      </c>
      <c r="L54" s="4"/>
    </row>
    <row r="55" customFormat="false" ht="22.15" hidden="false" customHeight="true" outlineLevel="0" collapsed="false">
      <c r="A55" s="30" t="s">
        <v>109</v>
      </c>
      <c r="B55" s="4" t="n">
        <v>7</v>
      </c>
      <c r="C55" s="3" t="s">
        <v>122</v>
      </c>
      <c r="D55" s="3" t="s">
        <v>123</v>
      </c>
      <c r="E55" s="4" t="s">
        <v>43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f aca="false">SUM(F55:J55)</f>
        <v>1</v>
      </c>
      <c r="L55" s="4"/>
    </row>
    <row r="56" customFormat="false" ht="22.15" hidden="false" customHeight="true" outlineLevel="0" collapsed="false">
      <c r="A56" s="38" t="s">
        <v>124</v>
      </c>
      <c r="B56" s="39" t="n">
        <v>1</v>
      </c>
      <c r="C56" s="40" t="s">
        <v>125</v>
      </c>
      <c r="D56" s="40" t="s">
        <v>126</v>
      </c>
      <c r="E56" s="39" t="s">
        <v>43</v>
      </c>
      <c r="F56" s="41" t="n">
        <v>7</v>
      </c>
      <c r="G56" s="41" t="n">
        <v>7</v>
      </c>
      <c r="H56" s="41" t="n">
        <v>7</v>
      </c>
      <c r="I56" s="41" t="n">
        <v>0</v>
      </c>
      <c r="J56" s="41" t="n">
        <v>0</v>
      </c>
      <c r="K56" s="41" t="n">
        <f aca="false">SUM(F56:J56)</f>
        <v>21</v>
      </c>
      <c r="L56" s="17" t="s">
        <v>71</v>
      </c>
      <c r="M56" s="38" t="n">
        <f aca="false">SUM(K56:K65)</f>
        <v>170</v>
      </c>
      <c r="N56" s="19" t="n">
        <v>14</v>
      </c>
      <c r="O56" s="19"/>
      <c r="P56" s="19"/>
    </row>
    <row r="57" s="19" customFormat="true" ht="22.15" hidden="false" customHeight="true" outlineLevel="0" collapsed="false">
      <c r="A57" s="38" t="s">
        <v>124</v>
      </c>
      <c r="B57" s="39" t="n">
        <v>2</v>
      </c>
      <c r="C57" s="40" t="s">
        <v>127</v>
      </c>
      <c r="D57" s="40" t="s">
        <v>128</v>
      </c>
      <c r="E57" s="39" t="s">
        <v>52</v>
      </c>
      <c r="F57" s="41" t="n">
        <v>7</v>
      </c>
      <c r="G57" s="41" t="n">
        <v>7</v>
      </c>
      <c r="H57" s="41" t="n">
        <v>7</v>
      </c>
      <c r="I57" s="41" t="n">
        <v>0</v>
      </c>
      <c r="J57" s="41" t="n">
        <v>0</v>
      </c>
      <c r="K57" s="41" t="n">
        <f aca="false">SUM(F57:J57)</f>
        <v>21</v>
      </c>
      <c r="L57" s="17" t="s">
        <v>71</v>
      </c>
    </row>
    <row r="58" s="19" customFormat="true" ht="22.15" hidden="false" customHeight="true" outlineLevel="0" collapsed="false">
      <c r="A58" s="38" t="s">
        <v>124</v>
      </c>
      <c r="B58" s="39" t="n">
        <v>3</v>
      </c>
      <c r="C58" s="40" t="s">
        <v>129</v>
      </c>
      <c r="D58" s="40" t="s">
        <v>130</v>
      </c>
      <c r="E58" s="39" t="s">
        <v>43</v>
      </c>
      <c r="F58" s="41" t="n">
        <v>7</v>
      </c>
      <c r="G58" s="41" t="n">
        <v>0</v>
      </c>
      <c r="H58" s="41" t="n">
        <v>0</v>
      </c>
      <c r="I58" s="41" t="n">
        <v>7</v>
      </c>
      <c r="J58" s="41" t="n">
        <v>6</v>
      </c>
      <c r="K58" s="41" t="n">
        <f aca="false">SUM(F58:J58)</f>
        <v>20</v>
      </c>
      <c r="L58" s="17" t="s">
        <v>71</v>
      </c>
    </row>
    <row r="59" s="19" customFormat="true" ht="22.15" hidden="false" customHeight="true" outlineLevel="0" collapsed="false">
      <c r="A59" s="24" t="s">
        <v>124</v>
      </c>
      <c r="B59" s="42" t="n">
        <v>4</v>
      </c>
      <c r="C59" s="43" t="s">
        <v>131</v>
      </c>
      <c r="D59" s="43" t="s">
        <v>132</v>
      </c>
      <c r="E59" s="42" t="s">
        <v>43</v>
      </c>
      <c r="F59" s="44" t="n">
        <v>7</v>
      </c>
      <c r="G59" s="44" t="n">
        <v>0</v>
      </c>
      <c r="H59" s="44" t="n">
        <v>7</v>
      </c>
      <c r="I59" s="44" t="n">
        <v>5</v>
      </c>
      <c r="J59" s="44" t="n">
        <v>0</v>
      </c>
      <c r="K59" s="44" t="n">
        <f aca="false">SUM(F59:J59)</f>
        <v>19</v>
      </c>
      <c r="L59" s="22" t="s">
        <v>44</v>
      </c>
      <c r="M59" s="35"/>
      <c r="N59" s="35"/>
      <c r="O59" s="35"/>
      <c r="P59" s="35"/>
    </row>
    <row r="60" s="35" customFormat="true" ht="22.15" hidden="false" customHeight="true" outlineLevel="0" collapsed="false">
      <c r="A60" s="24" t="s">
        <v>124</v>
      </c>
      <c r="B60" s="42" t="n">
        <v>5</v>
      </c>
      <c r="C60" s="43" t="s">
        <v>133</v>
      </c>
      <c r="D60" s="43" t="s">
        <v>130</v>
      </c>
      <c r="E60" s="42" t="s">
        <v>43</v>
      </c>
      <c r="F60" s="44" t="n">
        <v>7</v>
      </c>
      <c r="G60" s="44" t="n">
        <v>7</v>
      </c>
      <c r="H60" s="44" t="n">
        <v>3</v>
      </c>
      <c r="I60" s="44" t="n">
        <v>0</v>
      </c>
      <c r="J60" s="44" t="n">
        <v>0</v>
      </c>
      <c r="K60" s="44" t="n">
        <f aca="false">SUM(F60:J60)</f>
        <v>17</v>
      </c>
      <c r="L60" s="22" t="s">
        <v>44</v>
      </c>
    </row>
    <row r="61" s="35" customFormat="true" ht="22.15" hidden="false" customHeight="true" outlineLevel="0" collapsed="false">
      <c r="A61" s="24" t="s">
        <v>124</v>
      </c>
      <c r="B61" s="42" t="n">
        <v>6</v>
      </c>
      <c r="C61" s="43" t="s">
        <v>134</v>
      </c>
      <c r="D61" s="43" t="s">
        <v>135</v>
      </c>
      <c r="E61" s="42" t="s">
        <v>43</v>
      </c>
      <c r="F61" s="44" t="n">
        <v>7</v>
      </c>
      <c r="G61" s="44" t="n">
        <v>0</v>
      </c>
      <c r="H61" s="44" t="n">
        <v>2</v>
      </c>
      <c r="I61" s="44" t="n">
        <v>0</v>
      </c>
      <c r="J61" s="44" t="n">
        <v>7</v>
      </c>
      <c r="K61" s="44" t="n">
        <f aca="false">SUM(F61:J61)</f>
        <v>16</v>
      </c>
      <c r="L61" s="22" t="s">
        <v>44</v>
      </c>
    </row>
    <row r="62" s="35" customFormat="true" ht="22.15" hidden="false" customHeight="true" outlineLevel="0" collapsed="false">
      <c r="A62" s="24" t="s">
        <v>124</v>
      </c>
      <c r="B62" s="42" t="n">
        <v>7</v>
      </c>
      <c r="C62" s="21" t="s">
        <v>136</v>
      </c>
      <c r="D62" s="21" t="s">
        <v>137</v>
      </c>
      <c r="E62" s="42" t="s">
        <v>43</v>
      </c>
      <c r="F62" s="23" t="n">
        <v>7</v>
      </c>
      <c r="G62" s="23" t="n">
        <v>0</v>
      </c>
      <c r="H62" s="23" t="n">
        <v>0</v>
      </c>
      <c r="I62" s="23" t="n">
        <v>0</v>
      </c>
      <c r="J62" s="23" t="n">
        <v>7</v>
      </c>
      <c r="K62" s="44" t="n">
        <f aca="false">SUM(F62:J62)</f>
        <v>14</v>
      </c>
      <c r="L62" s="22" t="s">
        <v>44</v>
      </c>
    </row>
    <row r="63" s="35" customFormat="true" ht="22.15" hidden="false" customHeight="true" outlineLevel="0" collapsed="false">
      <c r="A63" s="30" t="s">
        <v>124</v>
      </c>
      <c r="B63" s="32" t="n">
        <v>8</v>
      </c>
      <c r="C63" s="45" t="s">
        <v>138</v>
      </c>
      <c r="D63" s="45" t="s">
        <v>139</v>
      </c>
      <c r="E63" s="46" t="s">
        <v>43</v>
      </c>
      <c r="F63" s="47" t="n">
        <v>6</v>
      </c>
      <c r="G63" s="47" t="n">
        <v>0</v>
      </c>
      <c r="H63" s="47" t="n">
        <v>3</v>
      </c>
      <c r="I63" s="47" t="n">
        <v>0</v>
      </c>
      <c r="J63" s="47" t="n">
        <v>5</v>
      </c>
      <c r="K63" s="48" t="n">
        <f aca="false">SUM(F63:J63)</f>
        <v>14</v>
      </c>
      <c r="L63" s="4"/>
      <c r="M63" s="1"/>
      <c r="N63" s="1"/>
      <c r="O63" s="1"/>
      <c r="P63" s="1"/>
    </row>
    <row r="64" customFormat="false" ht="22.15" hidden="false" customHeight="true" outlineLevel="0" collapsed="false">
      <c r="A64" s="36" t="s">
        <v>124</v>
      </c>
      <c r="B64" s="49" t="n">
        <v>9</v>
      </c>
      <c r="C64" s="26" t="s">
        <v>140</v>
      </c>
      <c r="D64" s="26" t="s">
        <v>141</v>
      </c>
      <c r="E64" s="49" t="s">
        <v>43</v>
      </c>
      <c r="F64" s="28" t="n">
        <v>7</v>
      </c>
      <c r="G64" s="28" t="n">
        <v>0</v>
      </c>
      <c r="H64" s="28" t="n">
        <v>7</v>
      </c>
      <c r="I64" s="28" t="n">
        <v>0</v>
      </c>
      <c r="J64" s="28" t="n">
        <v>0</v>
      </c>
      <c r="K64" s="50" t="n">
        <f aca="false">SUM(F64:J64)</f>
        <v>14</v>
      </c>
      <c r="L64" s="27" t="s">
        <v>49</v>
      </c>
      <c r="M64" s="29"/>
      <c r="N64" s="29"/>
      <c r="O64" s="29"/>
      <c r="P64" s="29"/>
    </row>
    <row r="65" s="29" customFormat="true" ht="22.15" hidden="false" customHeight="true" outlineLevel="0" collapsed="false">
      <c r="A65" s="36" t="s">
        <v>124</v>
      </c>
      <c r="B65" s="49" t="n">
        <v>10</v>
      </c>
      <c r="C65" s="26" t="s">
        <v>142</v>
      </c>
      <c r="D65" s="26" t="s">
        <v>143</v>
      </c>
      <c r="E65" s="49" t="s">
        <v>43</v>
      </c>
      <c r="F65" s="28" t="n">
        <v>7</v>
      </c>
      <c r="G65" s="28" t="n">
        <v>0</v>
      </c>
      <c r="H65" s="28" t="n">
        <v>7</v>
      </c>
      <c r="I65" s="28" t="n">
        <v>0</v>
      </c>
      <c r="J65" s="28" t="n">
        <v>0</v>
      </c>
      <c r="K65" s="50" t="n">
        <f aca="false">SUM(F65:J65)</f>
        <v>14</v>
      </c>
      <c r="L65" s="27" t="s">
        <v>49</v>
      </c>
    </row>
    <row r="66" s="29" customFormat="true" ht="22.15" hidden="false" customHeight="true" outlineLevel="0" collapsed="false">
      <c r="A66" s="24" t="s">
        <v>144</v>
      </c>
      <c r="B66" s="22" t="n">
        <v>1</v>
      </c>
      <c r="C66" s="21" t="s">
        <v>145</v>
      </c>
      <c r="D66" s="21" t="s">
        <v>146</v>
      </c>
      <c r="E66" s="22" t="s">
        <v>43</v>
      </c>
      <c r="F66" s="23" t="n">
        <v>6</v>
      </c>
      <c r="G66" s="23" t="n">
        <v>7</v>
      </c>
      <c r="H66" s="23" t="n">
        <v>0</v>
      </c>
      <c r="I66" s="23" t="n">
        <v>0</v>
      </c>
      <c r="J66" s="23" t="n">
        <v>1</v>
      </c>
      <c r="K66" s="23" t="n">
        <f aca="false">SUM(F66:J66)</f>
        <v>14</v>
      </c>
      <c r="L66" s="22" t="s">
        <v>44</v>
      </c>
      <c r="M66" s="24" t="n">
        <f aca="false">SUM(K66:K75)</f>
        <v>106</v>
      </c>
      <c r="N66" s="35" t="n">
        <v>22</v>
      </c>
      <c r="O66" s="35"/>
      <c r="P66" s="35"/>
    </row>
    <row r="67" s="35" customFormat="true" ht="22.15" hidden="false" customHeight="true" outlineLevel="0" collapsed="false">
      <c r="A67" s="24" t="s">
        <v>144</v>
      </c>
      <c r="B67" s="22" t="n">
        <v>2</v>
      </c>
      <c r="C67" s="21" t="s">
        <v>147</v>
      </c>
      <c r="D67" s="21" t="s">
        <v>148</v>
      </c>
      <c r="E67" s="22" t="s">
        <v>43</v>
      </c>
      <c r="F67" s="23" t="n">
        <v>7</v>
      </c>
      <c r="G67" s="23" t="n">
        <v>0</v>
      </c>
      <c r="H67" s="23" t="n">
        <v>7</v>
      </c>
      <c r="I67" s="23" t="n">
        <v>0</v>
      </c>
      <c r="J67" s="23" t="n">
        <v>0</v>
      </c>
      <c r="K67" s="23" t="n">
        <f aca="false">SUM(F67:J67)</f>
        <v>14</v>
      </c>
      <c r="L67" s="22" t="s">
        <v>44</v>
      </c>
    </row>
    <row r="68" s="35" customFormat="true" ht="22.15" hidden="false" customHeight="true" outlineLevel="0" collapsed="false">
      <c r="A68" s="24" t="s">
        <v>144</v>
      </c>
      <c r="B68" s="22" t="n">
        <v>3</v>
      </c>
      <c r="C68" s="21" t="s">
        <v>149</v>
      </c>
      <c r="D68" s="21" t="s">
        <v>150</v>
      </c>
      <c r="E68" s="22" t="s">
        <v>43</v>
      </c>
      <c r="F68" s="23" t="n">
        <v>6</v>
      </c>
      <c r="G68" s="23" t="n">
        <v>0</v>
      </c>
      <c r="H68" s="23" t="n">
        <v>7</v>
      </c>
      <c r="I68" s="23" t="n">
        <v>0</v>
      </c>
      <c r="J68" s="23" t="n">
        <v>0</v>
      </c>
      <c r="K68" s="23" t="n">
        <f aca="false">SUM(F68:J68)</f>
        <v>13</v>
      </c>
      <c r="L68" s="22" t="s">
        <v>44</v>
      </c>
    </row>
    <row r="69" s="35" customFormat="true" ht="22.15" hidden="false" customHeight="true" outlineLevel="0" collapsed="false">
      <c r="A69" s="24" t="s">
        <v>144</v>
      </c>
      <c r="B69" s="22" t="n">
        <v>4</v>
      </c>
      <c r="C69" s="21" t="s">
        <v>151</v>
      </c>
      <c r="D69" s="21" t="s">
        <v>152</v>
      </c>
      <c r="E69" s="22" t="s">
        <v>43</v>
      </c>
      <c r="F69" s="23" t="n">
        <v>7</v>
      </c>
      <c r="G69" s="23" t="n">
        <v>3</v>
      </c>
      <c r="H69" s="23" t="n">
        <v>2</v>
      </c>
      <c r="I69" s="23" t="n">
        <v>0</v>
      </c>
      <c r="J69" s="23" t="n">
        <v>0</v>
      </c>
      <c r="K69" s="23" t="n">
        <f aca="false">SUM(F69:J69)</f>
        <v>12</v>
      </c>
      <c r="L69" s="22" t="s">
        <v>44</v>
      </c>
    </row>
    <row r="70" s="35" customFormat="true" ht="22.15" hidden="false" customHeight="true" outlineLevel="0" collapsed="false">
      <c r="A70" s="30" t="s">
        <v>144</v>
      </c>
      <c r="B70" s="4" t="n">
        <v>5</v>
      </c>
      <c r="C70" s="3" t="s">
        <v>153</v>
      </c>
      <c r="D70" s="3" t="s">
        <v>154</v>
      </c>
      <c r="E70" s="4" t="s">
        <v>43</v>
      </c>
      <c r="F70" s="5" t="n">
        <v>6</v>
      </c>
      <c r="G70" s="5" t="n">
        <v>1</v>
      </c>
      <c r="H70" s="5" t="n">
        <v>3</v>
      </c>
      <c r="I70" s="5" t="n">
        <v>0</v>
      </c>
      <c r="J70" s="5" t="n">
        <v>0</v>
      </c>
      <c r="K70" s="5" t="n">
        <f aca="false">SUM(F70:J70)</f>
        <v>10</v>
      </c>
      <c r="L70" s="4"/>
      <c r="M70" s="1"/>
      <c r="N70" s="1"/>
      <c r="O70" s="1"/>
      <c r="P70" s="1"/>
    </row>
    <row r="71" customFormat="false" ht="22.15" hidden="false" customHeight="true" outlineLevel="0" collapsed="false">
      <c r="A71" s="36" t="s">
        <v>144</v>
      </c>
      <c r="B71" s="27" t="n">
        <v>6</v>
      </c>
      <c r="C71" s="26" t="s">
        <v>149</v>
      </c>
      <c r="D71" s="26" t="s">
        <v>155</v>
      </c>
      <c r="E71" s="27" t="s">
        <v>43</v>
      </c>
      <c r="F71" s="28" t="n">
        <v>7</v>
      </c>
      <c r="G71" s="28" t="n">
        <v>0</v>
      </c>
      <c r="H71" s="28" t="n">
        <v>2</v>
      </c>
      <c r="I71" s="28" t="n">
        <v>0</v>
      </c>
      <c r="J71" s="28" t="n">
        <v>0</v>
      </c>
      <c r="K71" s="28" t="n">
        <f aca="false">SUM(F71:J71)</f>
        <v>9</v>
      </c>
      <c r="L71" s="27" t="s">
        <v>49</v>
      </c>
      <c r="M71" s="29"/>
      <c r="N71" s="29"/>
      <c r="O71" s="29"/>
      <c r="P71" s="29"/>
    </row>
    <row r="72" s="29" customFormat="true" ht="22.15" hidden="false" customHeight="true" outlineLevel="0" collapsed="false">
      <c r="A72" s="36" t="s">
        <v>144</v>
      </c>
      <c r="B72" s="27" t="n">
        <v>7</v>
      </c>
      <c r="C72" s="26" t="s">
        <v>156</v>
      </c>
      <c r="D72" s="26" t="s">
        <v>157</v>
      </c>
      <c r="E72" s="27" t="s">
        <v>43</v>
      </c>
      <c r="F72" s="28" t="n">
        <v>7</v>
      </c>
      <c r="G72" s="28" t="n">
        <v>0</v>
      </c>
      <c r="H72" s="28" t="n">
        <v>2</v>
      </c>
      <c r="I72" s="28" t="n">
        <v>0</v>
      </c>
      <c r="J72" s="28" t="n">
        <v>0</v>
      </c>
      <c r="K72" s="28" t="n">
        <f aca="false">SUM(F72:J72)</f>
        <v>9</v>
      </c>
      <c r="L72" s="27" t="s">
        <v>49</v>
      </c>
    </row>
    <row r="73" s="29" customFormat="true" ht="22.15" hidden="false" customHeight="true" outlineLevel="0" collapsed="false">
      <c r="A73" s="36" t="s">
        <v>144</v>
      </c>
      <c r="B73" s="27" t="n">
        <v>8</v>
      </c>
      <c r="C73" s="26" t="s">
        <v>158</v>
      </c>
      <c r="D73" s="26" t="s">
        <v>159</v>
      </c>
      <c r="E73" s="27" t="s">
        <v>43</v>
      </c>
      <c r="F73" s="28" t="n">
        <v>7</v>
      </c>
      <c r="G73" s="28" t="n">
        <v>0</v>
      </c>
      <c r="H73" s="28" t="n">
        <v>2</v>
      </c>
      <c r="I73" s="28" t="n">
        <v>0</v>
      </c>
      <c r="J73" s="28" t="n">
        <v>0</v>
      </c>
      <c r="K73" s="28" t="n">
        <f aca="false">SUM(F73:J73)</f>
        <v>9</v>
      </c>
      <c r="L73" s="27" t="s">
        <v>49</v>
      </c>
    </row>
    <row r="74" s="29" customFormat="true" ht="22.15" hidden="false" customHeight="true" outlineLevel="0" collapsed="false">
      <c r="A74" s="36" t="s">
        <v>144</v>
      </c>
      <c r="B74" s="27" t="n">
        <v>9</v>
      </c>
      <c r="C74" s="26" t="s">
        <v>160</v>
      </c>
      <c r="D74" s="26" t="s">
        <v>161</v>
      </c>
      <c r="E74" s="27" t="s">
        <v>43</v>
      </c>
      <c r="F74" s="28" t="n">
        <v>7</v>
      </c>
      <c r="G74" s="28" t="n">
        <v>0</v>
      </c>
      <c r="H74" s="28" t="n">
        <v>0</v>
      </c>
      <c r="I74" s="28" t="n">
        <v>0</v>
      </c>
      <c r="J74" s="28" t="n">
        <v>1</v>
      </c>
      <c r="K74" s="28" t="n">
        <f aca="false">SUM(F74:J74)</f>
        <v>8</v>
      </c>
      <c r="L74" s="27" t="s">
        <v>49</v>
      </c>
    </row>
    <row r="75" s="29" customFormat="true" ht="22.15" hidden="false" customHeight="true" outlineLevel="0" collapsed="false">
      <c r="A75" s="30" t="s">
        <v>144</v>
      </c>
      <c r="B75" s="4" t="n">
        <v>10</v>
      </c>
      <c r="C75" s="3" t="s">
        <v>162</v>
      </c>
      <c r="D75" s="3" t="s">
        <v>163</v>
      </c>
      <c r="E75" s="4" t="s">
        <v>43</v>
      </c>
      <c r="F75" s="5" t="n">
        <v>6</v>
      </c>
      <c r="G75" s="5" t="n">
        <v>0</v>
      </c>
      <c r="H75" s="5" t="n">
        <v>2</v>
      </c>
      <c r="I75" s="5" t="n">
        <v>0</v>
      </c>
      <c r="J75" s="5" t="n">
        <v>0</v>
      </c>
      <c r="K75" s="5" t="n">
        <f aca="false">SUM(F75:J75)</f>
        <v>8</v>
      </c>
      <c r="L75" s="4"/>
      <c r="M75" s="1"/>
      <c r="N75" s="1"/>
      <c r="O75" s="1"/>
      <c r="P75" s="1"/>
    </row>
    <row r="76" customFormat="false" ht="22.15" hidden="false" customHeight="true" outlineLevel="0" collapsed="false">
      <c r="A76" s="37" t="s">
        <v>164</v>
      </c>
      <c r="B76" s="12" t="n">
        <v>1</v>
      </c>
      <c r="C76" s="11" t="s">
        <v>165</v>
      </c>
      <c r="D76" s="11" t="s">
        <v>166</v>
      </c>
      <c r="E76" s="12" t="s">
        <v>43</v>
      </c>
      <c r="F76" s="13" t="n">
        <v>7</v>
      </c>
      <c r="G76" s="13" t="n">
        <v>7</v>
      </c>
      <c r="H76" s="13" t="n">
        <v>7</v>
      </c>
      <c r="I76" s="13" t="n">
        <v>0</v>
      </c>
      <c r="J76" s="13" t="n">
        <v>7</v>
      </c>
      <c r="K76" s="13" t="n">
        <f aca="false">SUM(F76:J76)</f>
        <v>28</v>
      </c>
      <c r="L76" s="12" t="s">
        <v>68</v>
      </c>
      <c r="M76" s="14" t="n">
        <f aca="false">SUM(K76:K85)</f>
        <v>196</v>
      </c>
      <c r="N76" s="14" t="n">
        <v>8</v>
      </c>
      <c r="O76" s="14"/>
      <c r="P76" s="14"/>
    </row>
    <row r="77" s="14" customFormat="true" ht="22.15" hidden="false" customHeight="true" outlineLevel="0" collapsed="false">
      <c r="A77" s="38" t="s">
        <v>164</v>
      </c>
      <c r="B77" s="17" t="n">
        <v>2</v>
      </c>
      <c r="C77" s="16" t="s">
        <v>86</v>
      </c>
      <c r="D77" s="16" t="s">
        <v>167</v>
      </c>
      <c r="E77" s="17" t="s">
        <v>43</v>
      </c>
      <c r="F77" s="18" t="n">
        <v>7</v>
      </c>
      <c r="G77" s="18" t="n">
        <v>6</v>
      </c>
      <c r="H77" s="18" t="n">
        <v>7</v>
      </c>
      <c r="I77" s="18" t="n">
        <v>0</v>
      </c>
      <c r="J77" s="18" t="n">
        <v>4</v>
      </c>
      <c r="K77" s="18" t="n">
        <f aca="false">SUM(F77:J77)</f>
        <v>24</v>
      </c>
      <c r="L77" s="17" t="s">
        <v>71</v>
      </c>
      <c r="M77" s="19"/>
      <c r="N77" s="19"/>
      <c r="O77" s="19"/>
      <c r="P77" s="19"/>
    </row>
    <row r="78" s="19" customFormat="true" ht="22.15" hidden="false" customHeight="true" outlineLevel="0" collapsed="false">
      <c r="A78" s="38" t="s">
        <v>164</v>
      </c>
      <c r="B78" s="17" t="n">
        <v>3</v>
      </c>
      <c r="C78" s="16" t="s">
        <v>86</v>
      </c>
      <c r="D78" s="16" t="s">
        <v>168</v>
      </c>
      <c r="E78" s="17" t="s">
        <v>43</v>
      </c>
      <c r="F78" s="18" t="n">
        <v>7</v>
      </c>
      <c r="G78" s="18" t="n">
        <v>7</v>
      </c>
      <c r="H78" s="18" t="n">
        <v>7</v>
      </c>
      <c r="I78" s="18" t="n">
        <v>1</v>
      </c>
      <c r="J78" s="18" t="n">
        <v>0</v>
      </c>
      <c r="K78" s="18" t="n">
        <f aca="false">SUM(F78:J78)</f>
        <v>22</v>
      </c>
      <c r="L78" s="17" t="s">
        <v>71</v>
      </c>
    </row>
    <row r="79" s="19" customFormat="true" ht="22.15" hidden="false" customHeight="true" outlineLevel="0" collapsed="false">
      <c r="A79" s="24" t="s">
        <v>164</v>
      </c>
      <c r="B79" s="22" t="n">
        <v>4</v>
      </c>
      <c r="C79" s="21" t="s">
        <v>169</v>
      </c>
      <c r="D79" s="21" t="s">
        <v>170</v>
      </c>
      <c r="E79" s="22" t="s">
        <v>43</v>
      </c>
      <c r="F79" s="23" t="n">
        <v>7</v>
      </c>
      <c r="G79" s="23" t="n">
        <v>0</v>
      </c>
      <c r="H79" s="23" t="n">
        <v>7</v>
      </c>
      <c r="I79" s="23" t="n">
        <v>0</v>
      </c>
      <c r="J79" s="23" t="n">
        <v>7</v>
      </c>
      <c r="K79" s="23" t="n">
        <f aca="false">SUM(F79:J79)</f>
        <v>21</v>
      </c>
      <c r="L79" s="22" t="s">
        <v>44</v>
      </c>
      <c r="M79" s="35"/>
      <c r="N79" s="35"/>
      <c r="O79" s="35"/>
      <c r="P79" s="35"/>
    </row>
    <row r="80" s="35" customFormat="true" ht="22.15" hidden="false" customHeight="true" outlineLevel="0" collapsed="false">
      <c r="A80" s="24" t="s">
        <v>164</v>
      </c>
      <c r="B80" s="22" t="n">
        <v>5</v>
      </c>
      <c r="C80" s="21" t="s">
        <v>171</v>
      </c>
      <c r="D80" s="21" t="s">
        <v>172</v>
      </c>
      <c r="E80" s="22" t="s">
        <v>43</v>
      </c>
      <c r="F80" s="23" t="n">
        <v>7</v>
      </c>
      <c r="G80" s="23" t="n">
        <v>0</v>
      </c>
      <c r="H80" s="23" t="n">
        <v>7</v>
      </c>
      <c r="I80" s="23" t="n">
        <v>0</v>
      </c>
      <c r="J80" s="23" t="n">
        <v>7</v>
      </c>
      <c r="K80" s="23" t="n">
        <f aca="false">SUM(F80:J80)</f>
        <v>21</v>
      </c>
      <c r="L80" s="22" t="s">
        <v>44</v>
      </c>
    </row>
    <row r="81" s="35" customFormat="true" ht="22.15" hidden="false" customHeight="true" outlineLevel="0" collapsed="false">
      <c r="A81" s="24" t="s">
        <v>164</v>
      </c>
      <c r="B81" s="22" t="n">
        <v>6</v>
      </c>
      <c r="C81" s="21" t="s">
        <v>173</v>
      </c>
      <c r="D81" s="21" t="s">
        <v>174</v>
      </c>
      <c r="E81" s="22" t="s">
        <v>43</v>
      </c>
      <c r="F81" s="23" t="n">
        <v>7</v>
      </c>
      <c r="G81" s="23" t="n">
        <v>5</v>
      </c>
      <c r="H81" s="23" t="n">
        <v>7</v>
      </c>
      <c r="I81" s="23" t="n">
        <v>0</v>
      </c>
      <c r="J81" s="23" t="n">
        <v>1</v>
      </c>
      <c r="K81" s="23" t="n">
        <f aca="false">SUM(F81:J81)</f>
        <v>20</v>
      </c>
      <c r="L81" s="22" t="s">
        <v>44</v>
      </c>
    </row>
    <row r="82" s="35" customFormat="true" ht="22.15" hidden="false" customHeight="true" outlineLevel="0" collapsed="false">
      <c r="A82" s="24" t="s">
        <v>164</v>
      </c>
      <c r="B82" s="22" t="n">
        <v>7</v>
      </c>
      <c r="C82" s="21" t="s">
        <v>165</v>
      </c>
      <c r="D82" s="21" t="s">
        <v>175</v>
      </c>
      <c r="E82" s="22" t="s">
        <v>43</v>
      </c>
      <c r="F82" s="23" t="n">
        <v>7</v>
      </c>
      <c r="G82" s="23" t="n">
        <v>0</v>
      </c>
      <c r="H82" s="23" t="n">
        <v>7</v>
      </c>
      <c r="I82" s="23" t="n">
        <v>0</v>
      </c>
      <c r="J82" s="23" t="n">
        <v>4</v>
      </c>
      <c r="K82" s="23" t="n">
        <f aca="false">SUM(F82:J82)</f>
        <v>18</v>
      </c>
      <c r="L82" s="22" t="s">
        <v>44</v>
      </c>
    </row>
    <row r="83" s="35" customFormat="true" ht="22.15" hidden="false" customHeight="true" outlineLevel="0" collapsed="false">
      <c r="A83" s="36" t="s">
        <v>164</v>
      </c>
      <c r="B83" s="27" t="n">
        <v>8</v>
      </c>
      <c r="C83" s="26" t="s">
        <v>72</v>
      </c>
      <c r="D83" s="26" t="s">
        <v>176</v>
      </c>
      <c r="E83" s="27" t="s">
        <v>43</v>
      </c>
      <c r="F83" s="28" t="n">
        <v>7</v>
      </c>
      <c r="G83" s="28" t="n">
        <v>1</v>
      </c>
      <c r="H83" s="28" t="n">
        <v>7</v>
      </c>
      <c r="I83" s="28" t="n">
        <v>0</v>
      </c>
      <c r="J83" s="28" t="n">
        <v>0</v>
      </c>
      <c r="K83" s="28" t="n">
        <f aca="false">SUM(F83:J83)</f>
        <v>15</v>
      </c>
      <c r="L83" s="27" t="s">
        <v>49</v>
      </c>
      <c r="M83" s="29"/>
      <c r="N83" s="29"/>
      <c r="O83" s="29"/>
      <c r="P83" s="29"/>
    </row>
    <row r="84" s="29" customFormat="true" ht="22.15" hidden="false" customHeight="true" outlineLevel="0" collapsed="false">
      <c r="A84" s="36" t="s">
        <v>164</v>
      </c>
      <c r="B84" s="27" t="n">
        <v>9</v>
      </c>
      <c r="C84" s="26" t="s">
        <v>177</v>
      </c>
      <c r="D84" s="26" t="s">
        <v>178</v>
      </c>
      <c r="E84" s="27" t="s">
        <v>52</v>
      </c>
      <c r="F84" s="28" t="n">
        <v>7</v>
      </c>
      <c r="G84" s="28" t="n">
        <v>0</v>
      </c>
      <c r="H84" s="28" t="n">
        <v>7</v>
      </c>
      <c r="I84" s="28" t="n">
        <v>0</v>
      </c>
      <c r="J84" s="28" t="n">
        <v>0</v>
      </c>
      <c r="K84" s="28" t="n">
        <f aca="false">SUM(F84:J84)</f>
        <v>14</v>
      </c>
      <c r="L84" s="27" t="s">
        <v>49</v>
      </c>
    </row>
    <row r="85" s="29" customFormat="true" ht="22.15" hidden="false" customHeight="true" outlineLevel="0" collapsed="false">
      <c r="A85" s="36" t="s">
        <v>164</v>
      </c>
      <c r="B85" s="27" t="n">
        <v>10</v>
      </c>
      <c r="C85" s="26" t="s">
        <v>80</v>
      </c>
      <c r="D85" s="26" t="s">
        <v>179</v>
      </c>
      <c r="E85" s="27" t="s">
        <v>43</v>
      </c>
      <c r="F85" s="28" t="n">
        <v>4</v>
      </c>
      <c r="G85" s="28" t="n">
        <v>7</v>
      </c>
      <c r="H85" s="28" t="n">
        <v>2</v>
      </c>
      <c r="I85" s="28" t="n">
        <v>0</v>
      </c>
      <c r="J85" s="28" t="n">
        <v>0</v>
      </c>
      <c r="K85" s="28" t="n">
        <f aca="false">SUM(F85:J85)</f>
        <v>13</v>
      </c>
      <c r="L85" s="27" t="s">
        <v>49</v>
      </c>
    </row>
    <row r="86" s="29" customFormat="true" ht="22.15" hidden="false" customHeight="true" outlineLevel="0" collapsed="false">
      <c r="A86" s="38" t="s">
        <v>180</v>
      </c>
      <c r="B86" s="17" t="n">
        <v>1</v>
      </c>
      <c r="C86" s="16" t="s">
        <v>181</v>
      </c>
      <c r="D86" s="16" t="s">
        <v>182</v>
      </c>
      <c r="E86" s="17" t="s">
        <v>183</v>
      </c>
      <c r="F86" s="18" t="n">
        <v>6</v>
      </c>
      <c r="G86" s="18" t="n">
        <v>7</v>
      </c>
      <c r="H86" s="18" t="n">
        <v>7</v>
      </c>
      <c r="I86" s="18" t="n">
        <v>0</v>
      </c>
      <c r="J86" s="18" t="n">
        <v>0</v>
      </c>
      <c r="K86" s="18" t="n">
        <f aca="false">SUM(F86:J86)</f>
        <v>20</v>
      </c>
      <c r="L86" s="17" t="s">
        <v>71</v>
      </c>
      <c r="M86" s="38" t="n">
        <f aca="false">SUM(K86:K95)</f>
        <v>78</v>
      </c>
      <c r="N86" s="19" t="n">
        <v>31</v>
      </c>
      <c r="O86" s="19"/>
      <c r="P86" s="19"/>
    </row>
    <row r="87" s="19" customFormat="true" ht="22.15" hidden="false" customHeight="true" outlineLevel="0" collapsed="false">
      <c r="A87" s="24" t="s">
        <v>180</v>
      </c>
      <c r="B87" s="22" t="n">
        <v>2</v>
      </c>
      <c r="C87" s="21" t="s">
        <v>184</v>
      </c>
      <c r="D87" s="21" t="s">
        <v>185</v>
      </c>
      <c r="E87" s="22" t="s">
        <v>43</v>
      </c>
      <c r="F87" s="23" t="n">
        <v>7</v>
      </c>
      <c r="G87" s="23" t="n">
        <v>0</v>
      </c>
      <c r="H87" s="23" t="n">
        <v>4</v>
      </c>
      <c r="I87" s="23" t="n">
        <v>0</v>
      </c>
      <c r="J87" s="23" t="n">
        <v>0</v>
      </c>
      <c r="K87" s="23" t="n">
        <f aca="false">SUM(F87:J87)</f>
        <v>11</v>
      </c>
      <c r="L87" s="22" t="s">
        <v>44</v>
      </c>
      <c r="M87" s="35"/>
      <c r="N87" s="35"/>
      <c r="O87" s="35"/>
      <c r="P87" s="35"/>
    </row>
    <row r="88" s="35" customFormat="true" ht="22.15" hidden="false" customHeight="true" outlineLevel="0" collapsed="false">
      <c r="A88" s="36" t="s">
        <v>180</v>
      </c>
      <c r="B88" s="27" t="n">
        <v>3</v>
      </c>
      <c r="C88" s="26" t="s">
        <v>186</v>
      </c>
      <c r="D88" s="26" t="s">
        <v>187</v>
      </c>
      <c r="E88" s="27" t="s">
        <v>43</v>
      </c>
      <c r="F88" s="28" t="n">
        <v>7</v>
      </c>
      <c r="G88" s="28" t="n">
        <v>1</v>
      </c>
      <c r="H88" s="28" t="n">
        <v>1</v>
      </c>
      <c r="I88" s="28" t="n">
        <v>0</v>
      </c>
      <c r="J88" s="28" t="n">
        <v>0</v>
      </c>
      <c r="K88" s="28" t="n">
        <f aca="false">SUM(F88:J88)</f>
        <v>9</v>
      </c>
      <c r="L88" s="27" t="s">
        <v>49</v>
      </c>
      <c r="M88" s="29"/>
      <c r="N88" s="29"/>
      <c r="O88" s="29"/>
      <c r="P88" s="29"/>
    </row>
    <row r="89" s="29" customFormat="true" ht="22.15" hidden="false" customHeight="true" outlineLevel="0" collapsed="false">
      <c r="A89" s="30" t="s">
        <v>180</v>
      </c>
      <c r="B89" s="4" t="n">
        <v>4</v>
      </c>
      <c r="C89" s="3" t="s">
        <v>188</v>
      </c>
      <c r="D89" s="3" t="s">
        <v>189</v>
      </c>
      <c r="E89" s="4" t="s">
        <v>43</v>
      </c>
      <c r="F89" s="5" t="n">
        <v>6</v>
      </c>
      <c r="G89" s="5" t="n">
        <v>1</v>
      </c>
      <c r="H89" s="5" t="n">
        <v>1</v>
      </c>
      <c r="I89" s="5" t="n">
        <v>0</v>
      </c>
      <c r="J89" s="5" t="n">
        <v>0</v>
      </c>
      <c r="K89" s="5" t="n">
        <f aca="false">SUM(F89:J89)</f>
        <v>8</v>
      </c>
      <c r="L89" s="4"/>
      <c r="M89" s="1"/>
      <c r="N89" s="1"/>
      <c r="O89" s="1"/>
      <c r="P89" s="1"/>
    </row>
    <row r="90" customFormat="false" ht="22.15" hidden="false" customHeight="true" outlineLevel="0" collapsed="false">
      <c r="A90" s="36" t="s">
        <v>180</v>
      </c>
      <c r="B90" s="27" t="n">
        <v>5</v>
      </c>
      <c r="C90" s="26" t="s">
        <v>190</v>
      </c>
      <c r="D90" s="26" t="s">
        <v>191</v>
      </c>
      <c r="E90" s="27" t="s">
        <v>43</v>
      </c>
      <c r="F90" s="28" t="n">
        <v>7</v>
      </c>
      <c r="G90" s="28" t="n">
        <v>0</v>
      </c>
      <c r="H90" s="28" t="n">
        <v>0</v>
      </c>
      <c r="I90" s="28" t="n">
        <v>0</v>
      </c>
      <c r="J90" s="28" t="n">
        <v>0</v>
      </c>
      <c r="K90" s="28" t="n">
        <f aca="false">SUM(F90:J90)</f>
        <v>7</v>
      </c>
      <c r="L90" s="27" t="s">
        <v>49</v>
      </c>
      <c r="M90" s="29"/>
      <c r="N90" s="29"/>
      <c r="O90" s="29"/>
      <c r="P90" s="29"/>
    </row>
    <row r="91" s="29" customFormat="true" ht="22.15" hidden="false" customHeight="true" outlineLevel="0" collapsed="false">
      <c r="A91" s="36" t="s">
        <v>180</v>
      </c>
      <c r="B91" s="27" t="n">
        <v>6</v>
      </c>
      <c r="C91" s="26" t="s">
        <v>192</v>
      </c>
      <c r="D91" s="26" t="s">
        <v>193</v>
      </c>
      <c r="E91" s="27" t="s">
        <v>43</v>
      </c>
      <c r="F91" s="28" t="n">
        <v>7</v>
      </c>
      <c r="G91" s="28" t="n">
        <v>0</v>
      </c>
      <c r="H91" s="28" t="n">
        <v>0</v>
      </c>
      <c r="I91" s="28" t="n">
        <v>0</v>
      </c>
      <c r="J91" s="28" t="n">
        <v>0</v>
      </c>
      <c r="K91" s="28" t="n">
        <f aca="false">SUM(F91:J91)</f>
        <v>7</v>
      </c>
      <c r="L91" s="27" t="s">
        <v>49</v>
      </c>
    </row>
    <row r="92" s="29" customFormat="true" ht="22.15" hidden="false" customHeight="true" outlineLevel="0" collapsed="false">
      <c r="A92" s="30" t="s">
        <v>180</v>
      </c>
      <c r="B92" s="4" t="n">
        <v>7</v>
      </c>
      <c r="C92" s="3" t="s">
        <v>194</v>
      </c>
      <c r="D92" s="3" t="s">
        <v>195</v>
      </c>
      <c r="E92" s="4" t="s">
        <v>52</v>
      </c>
      <c r="F92" s="5" t="n">
        <v>6</v>
      </c>
      <c r="G92" s="5" t="n">
        <v>1</v>
      </c>
      <c r="H92" s="5" t="n">
        <v>0</v>
      </c>
      <c r="I92" s="5" t="n">
        <v>0</v>
      </c>
      <c r="J92" s="5" t="n">
        <v>0</v>
      </c>
      <c r="K92" s="5" t="n">
        <f aca="false">SUM(F92:J92)</f>
        <v>7</v>
      </c>
      <c r="L92" s="4"/>
      <c r="M92" s="1"/>
      <c r="N92" s="1"/>
      <c r="O92" s="1"/>
      <c r="P92" s="1"/>
    </row>
    <row r="93" customFormat="false" ht="22.15" hidden="false" customHeight="true" outlineLevel="0" collapsed="false">
      <c r="A93" s="30" t="s">
        <v>180</v>
      </c>
      <c r="B93" s="4" t="n">
        <v>8</v>
      </c>
      <c r="C93" s="3" t="s">
        <v>194</v>
      </c>
      <c r="D93" s="3" t="s">
        <v>196</v>
      </c>
      <c r="E93" s="4" t="s">
        <v>43</v>
      </c>
      <c r="F93" s="5" t="n">
        <v>2</v>
      </c>
      <c r="G93" s="5" t="n">
        <v>0</v>
      </c>
      <c r="H93" s="5" t="n">
        <v>5</v>
      </c>
      <c r="I93" s="5" t="n">
        <v>0</v>
      </c>
      <c r="J93" s="5" t="n">
        <v>0</v>
      </c>
      <c r="K93" s="5" t="n">
        <f aca="false">SUM(F93:J93)</f>
        <v>7</v>
      </c>
      <c r="L93" s="4"/>
    </row>
    <row r="94" customFormat="false" ht="22.15" hidden="false" customHeight="true" outlineLevel="0" collapsed="false">
      <c r="A94" s="30" t="s">
        <v>180</v>
      </c>
      <c r="B94" s="4" t="n">
        <v>9</v>
      </c>
      <c r="C94" s="3" t="s">
        <v>197</v>
      </c>
      <c r="D94" s="3" t="s">
        <v>198</v>
      </c>
      <c r="E94" s="4" t="s">
        <v>52</v>
      </c>
      <c r="F94" s="5" t="n">
        <v>0</v>
      </c>
      <c r="G94" s="5" t="n">
        <v>1</v>
      </c>
      <c r="H94" s="5" t="n">
        <v>0</v>
      </c>
      <c r="I94" s="5" t="n">
        <v>0</v>
      </c>
      <c r="J94" s="5" t="n">
        <v>0</v>
      </c>
      <c r="K94" s="5" t="n">
        <f aca="false">SUM(F94:J94)</f>
        <v>1</v>
      </c>
      <c r="L94" s="4"/>
    </row>
    <row r="95" customFormat="false" ht="22.15" hidden="false" customHeight="true" outlineLevel="0" collapsed="false">
      <c r="A95" s="30" t="s">
        <v>180</v>
      </c>
      <c r="B95" s="51" t="n">
        <v>10</v>
      </c>
      <c r="C95" s="3" t="s">
        <v>188</v>
      </c>
      <c r="D95" s="3" t="s">
        <v>199</v>
      </c>
      <c r="E95" s="4" t="s">
        <v>43</v>
      </c>
      <c r="F95" s="5" t="n">
        <v>1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f aca="false">SUM(F95:J95)</f>
        <v>1</v>
      </c>
      <c r="L95" s="4"/>
    </row>
    <row r="96" customFormat="false" ht="22.15" hidden="false" customHeight="true" outlineLevel="0" collapsed="false">
      <c r="A96" s="36" t="s">
        <v>200</v>
      </c>
      <c r="B96" s="27" t="n">
        <v>1</v>
      </c>
      <c r="C96" s="52" t="s">
        <v>201</v>
      </c>
      <c r="D96" s="52" t="s">
        <v>202</v>
      </c>
      <c r="E96" s="27" t="s">
        <v>43</v>
      </c>
      <c r="F96" s="53" t="n">
        <v>7</v>
      </c>
      <c r="G96" s="53" t="n">
        <v>0</v>
      </c>
      <c r="H96" s="53" t="n">
        <v>0</v>
      </c>
      <c r="I96" s="53" t="n">
        <v>0</v>
      </c>
      <c r="J96" s="53" t="n">
        <v>0</v>
      </c>
      <c r="K96" s="53" t="n">
        <f aca="false">SUM(F96:J96)</f>
        <v>7</v>
      </c>
      <c r="L96" s="27" t="s">
        <v>49</v>
      </c>
      <c r="M96" s="36" t="n">
        <f aca="false">SUM(K96:K102)</f>
        <v>25</v>
      </c>
      <c r="N96" s="29" t="n">
        <v>41</v>
      </c>
      <c r="O96" s="29"/>
      <c r="P96" s="29"/>
    </row>
    <row r="97" s="29" customFormat="true" ht="22.15" hidden="false" customHeight="true" outlineLevel="0" collapsed="false">
      <c r="A97" s="30" t="s">
        <v>200</v>
      </c>
      <c r="B97" s="4" t="n">
        <v>2</v>
      </c>
      <c r="C97" s="54" t="s">
        <v>203</v>
      </c>
      <c r="D97" s="54" t="s">
        <v>204</v>
      </c>
      <c r="E97" s="4" t="s">
        <v>43</v>
      </c>
      <c r="F97" s="55" t="n">
        <v>4</v>
      </c>
      <c r="G97" s="55" t="n">
        <v>0</v>
      </c>
      <c r="H97" s="55" t="n">
        <v>0</v>
      </c>
      <c r="I97" s="55" t="n">
        <v>0</v>
      </c>
      <c r="J97" s="55" t="n">
        <v>0</v>
      </c>
      <c r="K97" s="55" t="n">
        <f aca="false">SUM(F97:J97)</f>
        <v>4</v>
      </c>
      <c r="L97" s="4"/>
      <c r="M97" s="1"/>
      <c r="N97" s="1"/>
      <c r="O97" s="1"/>
      <c r="P97" s="1"/>
    </row>
    <row r="98" customFormat="false" ht="22.15" hidden="false" customHeight="true" outlineLevel="0" collapsed="false">
      <c r="A98" s="30" t="s">
        <v>200</v>
      </c>
      <c r="B98" s="4" t="n">
        <v>3</v>
      </c>
      <c r="C98" s="54" t="s">
        <v>205</v>
      </c>
      <c r="D98" s="54" t="s">
        <v>206</v>
      </c>
      <c r="E98" s="4" t="s">
        <v>43</v>
      </c>
      <c r="F98" s="55" t="n">
        <v>4</v>
      </c>
      <c r="G98" s="55" t="n">
        <v>0</v>
      </c>
      <c r="H98" s="55" t="n">
        <v>0</v>
      </c>
      <c r="I98" s="55" t="n">
        <v>0</v>
      </c>
      <c r="J98" s="55" t="n">
        <v>0</v>
      </c>
      <c r="K98" s="55" t="n">
        <f aca="false">SUM(F98:J98)</f>
        <v>4</v>
      </c>
      <c r="L98" s="4"/>
    </row>
    <row r="99" customFormat="false" ht="22.15" hidden="false" customHeight="true" outlineLevel="0" collapsed="false">
      <c r="A99" s="30" t="s">
        <v>200</v>
      </c>
      <c r="B99" s="4" t="n">
        <v>4</v>
      </c>
      <c r="C99" s="54" t="s">
        <v>207</v>
      </c>
      <c r="D99" s="54" t="s">
        <v>208</v>
      </c>
      <c r="E99" s="4" t="s">
        <v>43</v>
      </c>
      <c r="F99" s="55" t="n">
        <v>4</v>
      </c>
      <c r="G99" s="55" t="n">
        <v>0</v>
      </c>
      <c r="H99" s="55" t="n">
        <v>0</v>
      </c>
      <c r="I99" s="55" t="n">
        <v>0</v>
      </c>
      <c r="J99" s="55" t="n">
        <v>0</v>
      </c>
      <c r="K99" s="55" t="n">
        <f aca="false">SUM(F99:J99)</f>
        <v>4</v>
      </c>
      <c r="L99" s="4"/>
    </row>
    <row r="100" customFormat="false" ht="22.15" hidden="false" customHeight="true" outlineLevel="0" collapsed="false">
      <c r="A100" s="30" t="s">
        <v>200</v>
      </c>
      <c r="B100" s="4" t="n">
        <v>5</v>
      </c>
      <c r="C100" s="54" t="s">
        <v>209</v>
      </c>
      <c r="D100" s="54" t="s">
        <v>210</v>
      </c>
      <c r="E100" s="4" t="s">
        <v>52</v>
      </c>
      <c r="F100" s="55" t="n">
        <v>4</v>
      </c>
      <c r="G100" s="55" t="n">
        <v>0</v>
      </c>
      <c r="H100" s="55" t="n">
        <v>0</v>
      </c>
      <c r="I100" s="55" t="n">
        <v>0</v>
      </c>
      <c r="J100" s="55" t="n">
        <v>0</v>
      </c>
      <c r="K100" s="55" t="n">
        <f aca="false">SUM(F100:J100)</f>
        <v>4</v>
      </c>
      <c r="L100" s="4"/>
    </row>
    <row r="101" customFormat="false" ht="22.15" hidden="false" customHeight="true" outlineLevel="0" collapsed="false">
      <c r="A101" s="30" t="s">
        <v>200</v>
      </c>
      <c r="B101" s="4" t="n">
        <v>6</v>
      </c>
      <c r="C101" s="54" t="s">
        <v>211</v>
      </c>
      <c r="D101" s="54" t="s">
        <v>212</v>
      </c>
      <c r="E101" s="4" t="s">
        <v>52</v>
      </c>
      <c r="F101" s="55" t="n">
        <v>1</v>
      </c>
      <c r="G101" s="55" t="n">
        <v>0</v>
      </c>
      <c r="H101" s="55" t="n">
        <v>0</v>
      </c>
      <c r="I101" s="55" t="n">
        <v>0</v>
      </c>
      <c r="J101" s="55" t="n">
        <v>0</v>
      </c>
      <c r="K101" s="55" t="n">
        <f aca="false">SUM(F101:J101)</f>
        <v>1</v>
      </c>
      <c r="L101" s="4"/>
    </row>
    <row r="102" customFormat="false" ht="22.15" hidden="false" customHeight="true" outlineLevel="0" collapsed="false">
      <c r="A102" s="30" t="s">
        <v>200</v>
      </c>
      <c r="B102" s="4" t="n">
        <v>7</v>
      </c>
      <c r="C102" s="54" t="s">
        <v>213</v>
      </c>
      <c r="D102" s="54" t="s">
        <v>214</v>
      </c>
      <c r="E102" s="4" t="s">
        <v>43</v>
      </c>
      <c r="F102" s="55" t="n">
        <v>1</v>
      </c>
      <c r="G102" s="55" t="n">
        <v>0</v>
      </c>
      <c r="H102" s="55" t="n">
        <v>0</v>
      </c>
      <c r="I102" s="55" t="n">
        <v>0</v>
      </c>
      <c r="J102" s="55" t="n">
        <v>0</v>
      </c>
      <c r="K102" s="55" t="n">
        <f aca="false">SUM(F102:J102)</f>
        <v>1</v>
      </c>
      <c r="L102" s="4"/>
    </row>
    <row r="103" customFormat="false" ht="22.15" hidden="false" customHeight="true" outlineLevel="0" collapsed="false">
      <c r="A103" s="36" t="s">
        <v>215</v>
      </c>
      <c r="B103" s="27" t="n">
        <v>1</v>
      </c>
      <c r="C103" s="26" t="s">
        <v>216</v>
      </c>
      <c r="D103" s="26" t="s">
        <v>217</v>
      </c>
      <c r="E103" s="27" t="s">
        <v>43</v>
      </c>
      <c r="F103" s="28" t="n">
        <v>7</v>
      </c>
      <c r="G103" s="28" t="n">
        <v>0</v>
      </c>
      <c r="H103" s="28" t="n">
        <v>0</v>
      </c>
      <c r="I103" s="28" t="n">
        <v>0</v>
      </c>
      <c r="J103" s="28" t="n">
        <v>0</v>
      </c>
      <c r="K103" s="28" t="n">
        <f aca="false">SUM(F103:J103)</f>
        <v>7</v>
      </c>
      <c r="L103" s="27" t="s">
        <v>49</v>
      </c>
      <c r="M103" s="36" t="n">
        <f aca="false">SUM(K103:K112)</f>
        <v>43</v>
      </c>
      <c r="N103" s="29" t="n">
        <v>37</v>
      </c>
      <c r="O103" s="29"/>
      <c r="P103" s="29"/>
    </row>
    <row r="104" s="29" customFormat="true" ht="22.15" hidden="false" customHeight="true" outlineLevel="0" collapsed="false">
      <c r="A104" s="30" t="s">
        <v>215</v>
      </c>
      <c r="B104" s="4" t="n">
        <v>2</v>
      </c>
      <c r="C104" s="3" t="s">
        <v>218</v>
      </c>
      <c r="D104" s="3" t="s">
        <v>219</v>
      </c>
      <c r="E104" s="4" t="s">
        <v>43</v>
      </c>
      <c r="F104" s="5" t="n">
        <v>6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f aca="false">SUM(F104:J104)</f>
        <v>6</v>
      </c>
      <c r="L104" s="4"/>
      <c r="M104" s="1"/>
      <c r="N104" s="1"/>
      <c r="O104" s="1"/>
      <c r="P104" s="1"/>
    </row>
    <row r="105" customFormat="false" ht="22.15" hidden="false" customHeight="true" outlineLevel="0" collapsed="false">
      <c r="A105" s="30" t="s">
        <v>215</v>
      </c>
      <c r="B105" s="4" t="n">
        <v>3</v>
      </c>
      <c r="C105" s="3" t="s">
        <v>220</v>
      </c>
      <c r="D105" s="3" t="s">
        <v>221</v>
      </c>
      <c r="E105" s="4" t="s">
        <v>43</v>
      </c>
      <c r="F105" s="5" t="n">
        <v>6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f aca="false">SUM(F105:J105)</f>
        <v>6</v>
      </c>
      <c r="L105" s="4"/>
    </row>
    <row r="106" customFormat="false" ht="22.15" hidden="false" customHeight="true" outlineLevel="0" collapsed="false">
      <c r="A106" s="30" t="s">
        <v>215</v>
      </c>
      <c r="B106" s="4" t="n">
        <v>4</v>
      </c>
      <c r="C106" s="3" t="s">
        <v>222</v>
      </c>
      <c r="D106" s="3" t="s">
        <v>223</v>
      </c>
      <c r="E106" s="4" t="s">
        <v>43</v>
      </c>
      <c r="F106" s="5" t="n">
        <v>6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f aca="false">SUM(F106:J106)</f>
        <v>6</v>
      </c>
      <c r="L106" s="4"/>
    </row>
    <row r="107" customFormat="false" ht="22.15" hidden="false" customHeight="true" outlineLevel="0" collapsed="false">
      <c r="A107" s="30" t="s">
        <v>215</v>
      </c>
      <c r="B107" s="4" t="n">
        <v>5</v>
      </c>
      <c r="C107" s="3" t="s">
        <v>224</v>
      </c>
      <c r="D107" s="3" t="s">
        <v>225</v>
      </c>
      <c r="E107" s="4" t="s">
        <v>43</v>
      </c>
      <c r="F107" s="5" t="n">
        <v>5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f aca="false">SUM(F107:J107)</f>
        <v>5</v>
      </c>
      <c r="L107" s="4"/>
    </row>
    <row r="108" customFormat="false" ht="22.15" hidden="false" customHeight="true" outlineLevel="0" collapsed="false">
      <c r="A108" s="30" t="s">
        <v>215</v>
      </c>
      <c r="B108" s="4" t="n">
        <v>6</v>
      </c>
      <c r="C108" s="3" t="s">
        <v>226</v>
      </c>
      <c r="D108" s="3" t="s">
        <v>227</v>
      </c>
      <c r="E108" s="4" t="s">
        <v>52</v>
      </c>
      <c r="F108" s="5" t="n">
        <v>5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f aca="false">SUM(F108:J108)</f>
        <v>5</v>
      </c>
      <c r="L108" s="4"/>
    </row>
    <row r="109" customFormat="false" ht="22.15" hidden="false" customHeight="true" outlineLevel="0" collapsed="false">
      <c r="A109" s="30" t="s">
        <v>215</v>
      </c>
      <c r="B109" s="4" t="n">
        <v>7</v>
      </c>
      <c r="C109" s="3" t="s">
        <v>228</v>
      </c>
      <c r="D109" s="3" t="s">
        <v>229</v>
      </c>
      <c r="E109" s="4" t="s">
        <v>43</v>
      </c>
      <c r="F109" s="5" t="n">
        <v>4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f aca="false">SUM(F109:J109)</f>
        <v>4</v>
      </c>
      <c r="L109" s="4"/>
    </row>
    <row r="110" customFormat="false" ht="22.15" hidden="false" customHeight="true" outlineLevel="0" collapsed="false">
      <c r="A110" s="30" t="s">
        <v>215</v>
      </c>
      <c r="B110" s="4" t="n">
        <v>8</v>
      </c>
      <c r="C110" s="3" t="s">
        <v>230</v>
      </c>
      <c r="D110" s="3" t="s">
        <v>231</v>
      </c>
      <c r="E110" s="4" t="s">
        <v>43</v>
      </c>
      <c r="F110" s="5" t="n">
        <v>2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f aca="false">SUM(F110:J110)</f>
        <v>2</v>
      </c>
      <c r="L110" s="4"/>
    </row>
    <row r="111" customFormat="false" ht="22.15" hidden="false" customHeight="true" outlineLevel="0" collapsed="false">
      <c r="A111" s="30" t="s">
        <v>215</v>
      </c>
      <c r="B111" s="4" t="n">
        <v>9</v>
      </c>
      <c r="C111" s="3" t="s">
        <v>232</v>
      </c>
      <c r="D111" s="3" t="s">
        <v>233</v>
      </c>
      <c r="E111" s="4" t="s">
        <v>43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f aca="false">SUM(F111:J111)</f>
        <v>1</v>
      </c>
      <c r="L111" s="4"/>
    </row>
    <row r="112" customFormat="false" ht="22.15" hidden="false" customHeight="true" outlineLevel="0" collapsed="false">
      <c r="A112" s="30" t="s">
        <v>215</v>
      </c>
      <c r="B112" s="4" t="n">
        <v>10</v>
      </c>
      <c r="C112" s="3" t="s">
        <v>234</v>
      </c>
      <c r="D112" s="3" t="s">
        <v>235</v>
      </c>
      <c r="E112" s="4" t="s">
        <v>43</v>
      </c>
      <c r="F112" s="5" t="n">
        <v>0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f aca="false">SUM(F112:J112)</f>
        <v>1</v>
      </c>
      <c r="L112" s="4"/>
    </row>
    <row r="113" customFormat="false" ht="22.15" hidden="false" customHeight="true" outlineLevel="0" collapsed="false">
      <c r="A113" s="30" t="s">
        <v>236</v>
      </c>
      <c r="B113" s="4" t="n">
        <v>1</v>
      </c>
      <c r="C113" s="3" t="s">
        <v>237</v>
      </c>
      <c r="D113" s="3" t="s">
        <v>238</v>
      </c>
      <c r="E113" s="4" t="s">
        <v>52</v>
      </c>
      <c r="F113" s="5" t="n">
        <v>4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f aca="false">SUM(F113:J113)</f>
        <v>4</v>
      </c>
      <c r="L113" s="4"/>
      <c r="M113" s="30" t="n">
        <f aca="false">SUM(K113:K115)</f>
        <v>8</v>
      </c>
      <c r="N113" s="1" t="n">
        <v>42</v>
      </c>
    </row>
    <row r="114" customFormat="false" ht="22.15" hidden="false" customHeight="true" outlineLevel="0" collapsed="false">
      <c r="A114" s="30" t="s">
        <v>236</v>
      </c>
      <c r="B114" s="4" t="n">
        <v>2</v>
      </c>
      <c r="C114" s="3" t="s">
        <v>239</v>
      </c>
      <c r="D114" s="3" t="s">
        <v>240</v>
      </c>
      <c r="E114" s="4" t="s">
        <v>183</v>
      </c>
      <c r="F114" s="5" t="n">
        <v>3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f aca="false">SUM(F114:J114)</f>
        <v>3</v>
      </c>
      <c r="L114" s="4"/>
    </row>
    <row r="115" customFormat="false" ht="22.15" hidden="false" customHeight="true" outlineLevel="0" collapsed="false">
      <c r="A115" s="30" t="s">
        <v>236</v>
      </c>
      <c r="B115" s="4" t="n">
        <v>3</v>
      </c>
      <c r="C115" s="3" t="s">
        <v>241</v>
      </c>
      <c r="D115" s="3" t="s">
        <v>242</v>
      </c>
      <c r="E115" s="4" t="s">
        <v>183</v>
      </c>
      <c r="F115" s="5" t="n">
        <v>0</v>
      </c>
      <c r="G115" s="5" t="n">
        <v>1</v>
      </c>
      <c r="H115" s="5" t="n">
        <v>0</v>
      </c>
      <c r="I115" s="5" t="n">
        <v>0</v>
      </c>
      <c r="J115" s="5" t="n">
        <v>0</v>
      </c>
      <c r="K115" s="5" t="n">
        <f aca="false">SUM(F115:J115)</f>
        <v>1</v>
      </c>
      <c r="L115" s="4"/>
    </row>
    <row r="116" customFormat="false" ht="22.15" hidden="false" customHeight="true" outlineLevel="0" collapsed="false">
      <c r="A116" s="37" t="s">
        <v>243</v>
      </c>
      <c r="B116" s="12" t="n">
        <v>1</v>
      </c>
      <c r="C116" s="11" t="s">
        <v>244</v>
      </c>
      <c r="D116" s="11" t="s">
        <v>245</v>
      </c>
      <c r="E116" s="12" t="s">
        <v>43</v>
      </c>
      <c r="F116" s="13" t="n">
        <v>7</v>
      </c>
      <c r="G116" s="13" t="n">
        <v>7</v>
      </c>
      <c r="H116" s="13" t="n">
        <v>7</v>
      </c>
      <c r="I116" s="13" t="n">
        <v>0</v>
      </c>
      <c r="J116" s="13" t="n">
        <v>7</v>
      </c>
      <c r="K116" s="13" t="n">
        <f aca="false">SUM(F116:J116)</f>
        <v>28</v>
      </c>
      <c r="L116" s="12" t="s">
        <v>68</v>
      </c>
      <c r="M116" s="37" t="n">
        <f aca="false">SUM(K116:K125)</f>
        <v>182</v>
      </c>
      <c r="N116" s="14" t="n">
        <v>10</v>
      </c>
      <c r="O116" s="14"/>
      <c r="P116" s="14"/>
    </row>
    <row r="117" s="14" customFormat="true" ht="22.15" hidden="false" customHeight="true" outlineLevel="0" collapsed="false">
      <c r="A117" s="38" t="s">
        <v>243</v>
      </c>
      <c r="B117" s="17" t="n">
        <v>2</v>
      </c>
      <c r="C117" s="16" t="s">
        <v>246</v>
      </c>
      <c r="D117" s="16" t="s">
        <v>247</v>
      </c>
      <c r="E117" s="17" t="s">
        <v>43</v>
      </c>
      <c r="F117" s="18" t="n">
        <v>7</v>
      </c>
      <c r="G117" s="18" t="n">
        <v>7</v>
      </c>
      <c r="H117" s="18" t="n">
        <v>7</v>
      </c>
      <c r="I117" s="18" t="n">
        <v>7</v>
      </c>
      <c r="J117" s="18" t="n">
        <v>0</v>
      </c>
      <c r="K117" s="18" t="n">
        <f aca="false">SUM(F117:J117)</f>
        <v>28</v>
      </c>
      <c r="L117" s="17" t="s">
        <v>71</v>
      </c>
      <c r="M117" s="19"/>
      <c r="N117" s="19"/>
      <c r="O117" s="19"/>
      <c r="P117" s="19"/>
    </row>
    <row r="118" s="19" customFormat="true" ht="22.15" hidden="false" customHeight="true" outlineLevel="0" collapsed="false">
      <c r="A118" s="38" t="s">
        <v>243</v>
      </c>
      <c r="B118" s="17" t="n">
        <v>3</v>
      </c>
      <c r="C118" s="16" t="s">
        <v>248</v>
      </c>
      <c r="D118" s="16" t="s">
        <v>249</v>
      </c>
      <c r="E118" s="17" t="s">
        <v>43</v>
      </c>
      <c r="F118" s="18" t="n">
        <v>7</v>
      </c>
      <c r="G118" s="18" t="n">
        <v>6</v>
      </c>
      <c r="H118" s="18" t="n">
        <v>6</v>
      </c>
      <c r="I118" s="18" t="n">
        <v>0</v>
      </c>
      <c r="J118" s="18" t="n">
        <v>0</v>
      </c>
      <c r="K118" s="18" t="n">
        <f aca="false">SUM(F118:J118)</f>
        <v>19</v>
      </c>
      <c r="L118" s="17" t="s">
        <v>71</v>
      </c>
    </row>
    <row r="119" s="19" customFormat="true" ht="22.15" hidden="false" customHeight="true" outlineLevel="0" collapsed="false">
      <c r="A119" s="24" t="s">
        <v>243</v>
      </c>
      <c r="B119" s="22" t="n">
        <v>4</v>
      </c>
      <c r="C119" s="21" t="s">
        <v>69</v>
      </c>
      <c r="D119" s="21" t="s">
        <v>250</v>
      </c>
      <c r="E119" s="22" t="s">
        <v>43</v>
      </c>
      <c r="F119" s="23" t="n">
        <v>7</v>
      </c>
      <c r="G119" s="23" t="n">
        <v>4</v>
      </c>
      <c r="H119" s="23" t="n">
        <v>7</v>
      </c>
      <c r="I119" s="23" t="n">
        <v>0</v>
      </c>
      <c r="J119" s="23" t="n">
        <v>0</v>
      </c>
      <c r="K119" s="23" t="n">
        <f aca="false">SUM(F119:J119)</f>
        <v>18</v>
      </c>
      <c r="L119" s="22" t="s">
        <v>44</v>
      </c>
      <c r="M119" s="35"/>
      <c r="N119" s="35"/>
      <c r="O119" s="35"/>
      <c r="P119" s="35"/>
    </row>
    <row r="120" s="35" customFormat="true" ht="22.15" hidden="false" customHeight="true" outlineLevel="0" collapsed="false">
      <c r="A120" s="24" t="s">
        <v>243</v>
      </c>
      <c r="B120" s="22" t="n">
        <v>5</v>
      </c>
      <c r="C120" s="21" t="s">
        <v>251</v>
      </c>
      <c r="D120" s="21" t="s">
        <v>252</v>
      </c>
      <c r="E120" s="22" t="s">
        <v>43</v>
      </c>
      <c r="F120" s="23" t="n">
        <v>7</v>
      </c>
      <c r="G120" s="23" t="n">
        <v>7</v>
      </c>
      <c r="H120" s="23" t="n">
        <v>3</v>
      </c>
      <c r="I120" s="23" t="n">
        <v>0</v>
      </c>
      <c r="J120" s="23" t="n">
        <v>0</v>
      </c>
      <c r="K120" s="23" t="n">
        <f aca="false">SUM(F120:J120)</f>
        <v>17</v>
      </c>
      <c r="L120" s="22" t="s">
        <v>44</v>
      </c>
    </row>
    <row r="121" s="35" customFormat="true" ht="22.15" hidden="false" customHeight="true" outlineLevel="0" collapsed="false">
      <c r="A121" s="24" t="s">
        <v>243</v>
      </c>
      <c r="B121" s="22" t="n">
        <v>6</v>
      </c>
      <c r="C121" s="21" t="s">
        <v>74</v>
      </c>
      <c r="D121" s="21" t="s">
        <v>253</v>
      </c>
      <c r="E121" s="22" t="s">
        <v>43</v>
      </c>
      <c r="F121" s="23" t="n">
        <v>7</v>
      </c>
      <c r="G121" s="23" t="n">
        <v>0</v>
      </c>
      <c r="H121" s="23" t="n">
        <v>2</v>
      </c>
      <c r="I121" s="23" t="n">
        <v>0</v>
      </c>
      <c r="J121" s="23" t="n">
        <v>7</v>
      </c>
      <c r="K121" s="23" t="n">
        <f aca="false">SUM(F121:J121)</f>
        <v>16</v>
      </c>
      <c r="L121" s="22" t="s">
        <v>44</v>
      </c>
    </row>
    <row r="122" s="35" customFormat="true" ht="22.15" hidden="false" customHeight="true" outlineLevel="0" collapsed="false">
      <c r="A122" s="24" t="s">
        <v>243</v>
      </c>
      <c r="B122" s="22" t="n">
        <v>7</v>
      </c>
      <c r="C122" s="21" t="s">
        <v>254</v>
      </c>
      <c r="D122" s="21" t="s">
        <v>255</v>
      </c>
      <c r="E122" s="22" t="s">
        <v>43</v>
      </c>
      <c r="F122" s="23" t="n">
        <v>7</v>
      </c>
      <c r="G122" s="23" t="n">
        <v>0</v>
      </c>
      <c r="H122" s="23" t="n">
        <v>7</v>
      </c>
      <c r="I122" s="23" t="n">
        <v>0</v>
      </c>
      <c r="J122" s="23" t="n">
        <v>0</v>
      </c>
      <c r="K122" s="23" t="n">
        <f aca="false">SUM(F122:J122)</f>
        <v>14</v>
      </c>
      <c r="L122" s="22" t="s">
        <v>44</v>
      </c>
    </row>
    <row r="123" s="35" customFormat="true" ht="22.15" hidden="false" customHeight="true" outlineLevel="0" collapsed="false">
      <c r="A123" s="36" t="s">
        <v>243</v>
      </c>
      <c r="B123" s="27" t="n">
        <v>8</v>
      </c>
      <c r="C123" s="26" t="s">
        <v>256</v>
      </c>
      <c r="D123" s="26" t="s">
        <v>257</v>
      </c>
      <c r="E123" s="27" t="s">
        <v>43</v>
      </c>
      <c r="F123" s="28" t="n">
        <v>7</v>
      </c>
      <c r="G123" s="28" t="n">
        <v>7</v>
      </c>
      <c r="H123" s="28" t="n">
        <v>0</v>
      </c>
      <c r="I123" s="28" t="n">
        <v>0</v>
      </c>
      <c r="J123" s="28" t="n">
        <v>0</v>
      </c>
      <c r="K123" s="28" t="n">
        <f aca="false">SUM(F123:J123)</f>
        <v>14</v>
      </c>
      <c r="L123" s="27" t="s">
        <v>49</v>
      </c>
      <c r="M123" s="29"/>
      <c r="N123" s="29"/>
      <c r="O123" s="29"/>
      <c r="P123" s="29"/>
    </row>
    <row r="124" s="29" customFormat="true" ht="22.15" hidden="false" customHeight="true" outlineLevel="0" collapsed="false">
      <c r="A124" s="36" t="s">
        <v>243</v>
      </c>
      <c r="B124" s="27" t="n">
        <v>9</v>
      </c>
      <c r="C124" s="26" t="s">
        <v>248</v>
      </c>
      <c r="D124" s="26" t="s">
        <v>258</v>
      </c>
      <c r="E124" s="27" t="s">
        <v>43</v>
      </c>
      <c r="F124" s="28" t="n">
        <v>7</v>
      </c>
      <c r="G124" s="28" t="n">
        <v>7</v>
      </c>
      <c r="H124" s="28" t="n">
        <v>0</v>
      </c>
      <c r="I124" s="28" t="n">
        <v>0</v>
      </c>
      <c r="J124" s="28" t="n">
        <v>0</v>
      </c>
      <c r="K124" s="28" t="n">
        <f aca="false">SUM(F124:J124)</f>
        <v>14</v>
      </c>
      <c r="L124" s="27" t="s">
        <v>49</v>
      </c>
    </row>
    <row r="125" s="29" customFormat="true" ht="22.15" hidden="false" customHeight="true" outlineLevel="0" collapsed="false">
      <c r="A125" s="36" t="s">
        <v>243</v>
      </c>
      <c r="B125" s="27" t="n">
        <v>10</v>
      </c>
      <c r="C125" s="26" t="s">
        <v>259</v>
      </c>
      <c r="D125" s="26" t="s">
        <v>260</v>
      </c>
      <c r="E125" s="27" t="s">
        <v>43</v>
      </c>
      <c r="F125" s="28" t="n">
        <v>7</v>
      </c>
      <c r="G125" s="28" t="n">
        <v>7</v>
      </c>
      <c r="H125" s="28" t="n">
        <v>0</v>
      </c>
      <c r="I125" s="28" t="n">
        <v>0</v>
      </c>
      <c r="J125" s="28" t="n">
        <v>0</v>
      </c>
      <c r="K125" s="28" t="n">
        <f aca="false">SUM(F125:J125)</f>
        <v>14</v>
      </c>
      <c r="L125" s="27" t="s">
        <v>49</v>
      </c>
    </row>
    <row r="126" s="29" customFormat="true" ht="22.15" hidden="false" customHeight="true" outlineLevel="0" collapsed="false">
      <c r="A126" s="37" t="s">
        <v>261</v>
      </c>
      <c r="B126" s="12" t="n">
        <v>1</v>
      </c>
      <c r="C126" s="11" t="s">
        <v>262</v>
      </c>
      <c r="D126" s="11" t="s">
        <v>263</v>
      </c>
      <c r="E126" s="12" t="s">
        <v>43</v>
      </c>
      <c r="F126" s="13" t="n">
        <v>7</v>
      </c>
      <c r="G126" s="13" t="n">
        <v>7</v>
      </c>
      <c r="H126" s="13" t="n">
        <v>7</v>
      </c>
      <c r="I126" s="13" t="n">
        <v>7</v>
      </c>
      <c r="J126" s="13" t="n">
        <v>6</v>
      </c>
      <c r="K126" s="13" t="n">
        <f aca="false">SUM(F126:J126)</f>
        <v>34</v>
      </c>
      <c r="L126" s="12" t="s">
        <v>68</v>
      </c>
      <c r="M126" s="37" t="n">
        <f aca="false">SUM(K126:K135)</f>
        <v>221</v>
      </c>
      <c r="N126" s="14" t="n">
        <v>4</v>
      </c>
      <c r="O126" s="14"/>
      <c r="P126" s="14"/>
    </row>
    <row r="127" s="14" customFormat="true" ht="22.15" hidden="false" customHeight="true" outlineLevel="0" collapsed="false">
      <c r="A127" s="38" t="s">
        <v>261</v>
      </c>
      <c r="B127" s="17" t="n">
        <v>2</v>
      </c>
      <c r="C127" s="16" t="s">
        <v>264</v>
      </c>
      <c r="D127" s="16" t="s">
        <v>265</v>
      </c>
      <c r="E127" s="17" t="s">
        <v>43</v>
      </c>
      <c r="F127" s="18" t="n">
        <v>7</v>
      </c>
      <c r="G127" s="18" t="n">
        <v>0</v>
      </c>
      <c r="H127" s="18" t="n">
        <v>7</v>
      </c>
      <c r="I127" s="18" t="n">
        <v>7</v>
      </c>
      <c r="J127" s="18" t="n">
        <v>6</v>
      </c>
      <c r="K127" s="18" t="n">
        <f aca="false">SUM(F127:J127)</f>
        <v>27</v>
      </c>
      <c r="L127" s="17" t="s">
        <v>71</v>
      </c>
      <c r="M127" s="19"/>
      <c r="N127" s="19"/>
      <c r="O127" s="19"/>
      <c r="P127" s="19"/>
    </row>
    <row r="128" s="19" customFormat="true" ht="22.15" hidden="false" customHeight="true" outlineLevel="0" collapsed="false">
      <c r="A128" s="38" t="s">
        <v>261</v>
      </c>
      <c r="B128" s="17" t="n">
        <v>3</v>
      </c>
      <c r="C128" s="16" t="s">
        <v>266</v>
      </c>
      <c r="D128" s="16" t="s">
        <v>267</v>
      </c>
      <c r="E128" s="17" t="s">
        <v>43</v>
      </c>
      <c r="F128" s="18" t="n">
        <v>7</v>
      </c>
      <c r="G128" s="18" t="n">
        <v>7</v>
      </c>
      <c r="H128" s="18" t="n">
        <v>7</v>
      </c>
      <c r="I128" s="18" t="n">
        <v>1</v>
      </c>
      <c r="J128" s="18" t="n">
        <v>0</v>
      </c>
      <c r="K128" s="18" t="n">
        <f aca="false">SUM(F128:J128)</f>
        <v>22</v>
      </c>
      <c r="L128" s="17" t="s">
        <v>71</v>
      </c>
    </row>
    <row r="129" s="19" customFormat="true" ht="22.15" hidden="false" customHeight="true" outlineLevel="0" collapsed="false">
      <c r="A129" s="24" t="s">
        <v>261</v>
      </c>
      <c r="B129" s="22" t="n">
        <v>4</v>
      </c>
      <c r="C129" s="21" t="s">
        <v>268</v>
      </c>
      <c r="D129" s="21" t="s">
        <v>269</v>
      </c>
      <c r="E129" s="22" t="s">
        <v>43</v>
      </c>
      <c r="F129" s="23" t="n">
        <v>7</v>
      </c>
      <c r="G129" s="23" t="n">
        <v>0</v>
      </c>
      <c r="H129" s="23" t="n">
        <v>7</v>
      </c>
      <c r="I129" s="23" t="n">
        <v>0</v>
      </c>
      <c r="J129" s="23" t="n">
        <v>7</v>
      </c>
      <c r="K129" s="23" t="n">
        <f aca="false">SUM(F129:J129)</f>
        <v>21</v>
      </c>
      <c r="L129" s="22" t="s">
        <v>44</v>
      </c>
      <c r="M129" s="35"/>
      <c r="N129" s="35"/>
      <c r="O129" s="35"/>
      <c r="P129" s="35"/>
    </row>
    <row r="130" s="35" customFormat="true" ht="22.15" hidden="false" customHeight="true" outlineLevel="0" collapsed="false">
      <c r="A130" s="24" t="s">
        <v>261</v>
      </c>
      <c r="B130" s="22" t="n">
        <v>5</v>
      </c>
      <c r="C130" s="21" t="s">
        <v>270</v>
      </c>
      <c r="D130" s="21" t="s">
        <v>271</v>
      </c>
      <c r="E130" s="22" t="s">
        <v>52</v>
      </c>
      <c r="F130" s="23" t="n">
        <v>7</v>
      </c>
      <c r="G130" s="23" t="n">
        <v>7</v>
      </c>
      <c r="H130" s="23" t="n">
        <v>7</v>
      </c>
      <c r="I130" s="23" t="n">
        <v>0</v>
      </c>
      <c r="J130" s="23" t="n">
        <v>0</v>
      </c>
      <c r="K130" s="23" t="n">
        <f aca="false">SUM(F130:J130)</f>
        <v>21</v>
      </c>
      <c r="L130" s="22" t="s">
        <v>44</v>
      </c>
    </row>
    <row r="131" s="35" customFormat="true" ht="22.15" hidden="false" customHeight="true" outlineLevel="0" collapsed="false">
      <c r="A131" s="24" t="s">
        <v>261</v>
      </c>
      <c r="B131" s="22" t="n">
        <v>6</v>
      </c>
      <c r="C131" s="21" t="s">
        <v>272</v>
      </c>
      <c r="D131" s="21" t="s">
        <v>273</v>
      </c>
      <c r="E131" s="22" t="s">
        <v>43</v>
      </c>
      <c r="F131" s="23" t="n">
        <v>7</v>
      </c>
      <c r="G131" s="23" t="n">
        <v>7</v>
      </c>
      <c r="H131" s="23" t="n">
        <v>7</v>
      </c>
      <c r="I131" s="23" t="n">
        <v>0</v>
      </c>
      <c r="J131" s="23" t="n">
        <v>0</v>
      </c>
      <c r="K131" s="23" t="n">
        <f aca="false">SUM(F131:J131)</f>
        <v>21</v>
      </c>
      <c r="L131" s="22" t="s">
        <v>44</v>
      </c>
    </row>
    <row r="132" s="35" customFormat="true" ht="22.15" hidden="false" customHeight="true" outlineLevel="0" collapsed="false">
      <c r="A132" s="24" t="s">
        <v>261</v>
      </c>
      <c r="B132" s="22" t="n">
        <v>7</v>
      </c>
      <c r="C132" s="21" t="s">
        <v>71</v>
      </c>
      <c r="D132" s="21" t="s">
        <v>274</v>
      </c>
      <c r="E132" s="22" t="s">
        <v>43</v>
      </c>
      <c r="F132" s="23" t="n">
        <v>7</v>
      </c>
      <c r="G132" s="23" t="n">
        <v>7</v>
      </c>
      <c r="H132" s="23" t="n">
        <v>5</v>
      </c>
      <c r="I132" s="23" t="n">
        <v>0</v>
      </c>
      <c r="J132" s="23" t="n">
        <v>0</v>
      </c>
      <c r="K132" s="23" t="n">
        <f aca="false">SUM(F132:J132)</f>
        <v>19</v>
      </c>
      <c r="L132" s="22" t="s">
        <v>44</v>
      </c>
    </row>
    <row r="133" s="35" customFormat="true" ht="22.15" hidden="false" customHeight="true" outlineLevel="0" collapsed="false">
      <c r="A133" s="36" t="s">
        <v>261</v>
      </c>
      <c r="B133" s="27" t="n">
        <v>8</v>
      </c>
      <c r="C133" s="26" t="s">
        <v>275</v>
      </c>
      <c r="D133" s="26" t="s">
        <v>276</v>
      </c>
      <c r="E133" s="27" t="s">
        <v>43</v>
      </c>
      <c r="F133" s="28" t="n">
        <v>7</v>
      </c>
      <c r="G133" s="28" t="n">
        <v>0</v>
      </c>
      <c r="H133" s="28" t="n">
        <v>5</v>
      </c>
      <c r="I133" s="28" t="n">
        <v>7</v>
      </c>
      <c r="J133" s="28" t="n">
        <v>0</v>
      </c>
      <c r="K133" s="28" t="n">
        <f aca="false">SUM(F133:J133)</f>
        <v>19</v>
      </c>
      <c r="L133" s="27" t="s">
        <v>49</v>
      </c>
      <c r="M133" s="29"/>
      <c r="N133" s="29"/>
      <c r="O133" s="29"/>
      <c r="P133" s="29"/>
    </row>
    <row r="134" s="29" customFormat="true" ht="22.15" hidden="false" customHeight="true" outlineLevel="0" collapsed="false">
      <c r="A134" s="36" t="s">
        <v>261</v>
      </c>
      <c r="B134" s="27" t="n">
        <v>9</v>
      </c>
      <c r="C134" s="26" t="s">
        <v>277</v>
      </c>
      <c r="D134" s="26" t="s">
        <v>278</v>
      </c>
      <c r="E134" s="27" t="s">
        <v>52</v>
      </c>
      <c r="F134" s="28" t="n">
        <v>7</v>
      </c>
      <c r="G134" s="28" t="n">
        <v>0</v>
      </c>
      <c r="H134" s="28" t="n">
        <v>7</v>
      </c>
      <c r="I134" s="28" t="n">
        <v>5</v>
      </c>
      <c r="J134" s="28" t="n">
        <v>0</v>
      </c>
      <c r="K134" s="28" t="n">
        <f aca="false">SUM(F134:J134)</f>
        <v>19</v>
      </c>
      <c r="L134" s="27" t="s">
        <v>49</v>
      </c>
    </row>
    <row r="135" s="29" customFormat="true" ht="22.15" hidden="false" customHeight="true" outlineLevel="0" collapsed="false">
      <c r="A135" s="36" t="s">
        <v>261</v>
      </c>
      <c r="B135" s="27" t="n">
        <v>10</v>
      </c>
      <c r="C135" s="26" t="s">
        <v>279</v>
      </c>
      <c r="D135" s="26" t="s">
        <v>280</v>
      </c>
      <c r="E135" s="27" t="s">
        <v>43</v>
      </c>
      <c r="F135" s="28" t="n">
        <v>7</v>
      </c>
      <c r="G135" s="28" t="n">
        <v>7</v>
      </c>
      <c r="H135" s="28" t="n">
        <v>4</v>
      </c>
      <c r="I135" s="28" t="n">
        <v>0</v>
      </c>
      <c r="J135" s="28" t="n">
        <v>0</v>
      </c>
      <c r="K135" s="28" t="n">
        <f aca="false">SUM(F135:J135)</f>
        <v>18</v>
      </c>
      <c r="L135" s="27" t="s">
        <v>49</v>
      </c>
      <c r="M135" s="36"/>
    </row>
    <row r="136" s="29" customFormat="true" ht="22.15" hidden="false" customHeight="true" outlineLevel="0" collapsed="false">
      <c r="A136" s="24" t="s">
        <v>281</v>
      </c>
      <c r="B136" s="22" t="n">
        <v>1</v>
      </c>
      <c r="C136" s="21" t="s">
        <v>282</v>
      </c>
      <c r="D136" s="21" t="s">
        <v>283</v>
      </c>
      <c r="E136" s="22" t="s">
        <v>52</v>
      </c>
      <c r="F136" s="23" t="n">
        <v>7</v>
      </c>
      <c r="G136" s="23" t="n">
        <v>7</v>
      </c>
      <c r="H136" s="23" t="n">
        <v>0</v>
      </c>
      <c r="I136" s="23" t="n">
        <v>0</v>
      </c>
      <c r="J136" s="23" t="n">
        <v>0</v>
      </c>
      <c r="K136" s="23" t="n">
        <f aca="false">SUM(F136:J136)</f>
        <v>14</v>
      </c>
      <c r="L136" s="22" t="s">
        <v>44</v>
      </c>
      <c r="M136" s="24" t="n">
        <f aca="false">SUM(K136:K145)</f>
        <v>95</v>
      </c>
      <c r="N136" s="35" t="n">
        <v>25</v>
      </c>
      <c r="O136" s="35"/>
      <c r="P136" s="35"/>
    </row>
    <row r="137" s="35" customFormat="true" ht="22.15" hidden="false" customHeight="true" outlineLevel="0" collapsed="false">
      <c r="A137" s="24" t="s">
        <v>281</v>
      </c>
      <c r="B137" s="22" t="n">
        <v>2</v>
      </c>
      <c r="C137" s="21" t="s">
        <v>284</v>
      </c>
      <c r="D137" s="21" t="s">
        <v>285</v>
      </c>
      <c r="E137" s="22" t="s">
        <v>43</v>
      </c>
      <c r="F137" s="23" t="n">
        <v>5</v>
      </c>
      <c r="G137" s="23" t="n">
        <v>0</v>
      </c>
      <c r="H137" s="23" t="n">
        <v>7</v>
      </c>
      <c r="I137" s="23" t="n">
        <v>0</v>
      </c>
      <c r="J137" s="23" t="n">
        <v>0</v>
      </c>
      <c r="K137" s="23" t="n">
        <f aca="false">SUM(F137:J137)</f>
        <v>12</v>
      </c>
      <c r="L137" s="22" t="s">
        <v>44</v>
      </c>
    </row>
    <row r="138" s="35" customFormat="true" ht="22.15" hidden="false" customHeight="true" outlineLevel="0" collapsed="false">
      <c r="A138" s="30" t="s">
        <v>281</v>
      </c>
      <c r="B138" s="4" t="n">
        <v>3</v>
      </c>
      <c r="C138" s="3" t="s">
        <v>286</v>
      </c>
      <c r="D138" s="3" t="s">
        <v>287</v>
      </c>
      <c r="E138" s="4" t="s">
        <v>43</v>
      </c>
      <c r="F138" s="5" t="n">
        <v>6</v>
      </c>
      <c r="G138" s="5" t="n">
        <v>0</v>
      </c>
      <c r="H138" s="5" t="n">
        <v>4</v>
      </c>
      <c r="I138" s="5" t="n">
        <v>0</v>
      </c>
      <c r="J138" s="5" t="n">
        <v>0</v>
      </c>
      <c r="K138" s="5" t="n">
        <f aca="false">SUM(F138:J138)</f>
        <v>10</v>
      </c>
      <c r="L138" s="4"/>
      <c r="M138" s="1"/>
      <c r="N138" s="1"/>
      <c r="O138" s="1"/>
      <c r="P138" s="1"/>
    </row>
    <row r="139" customFormat="false" ht="22.15" hidden="false" customHeight="true" outlineLevel="0" collapsed="false">
      <c r="A139" s="36" t="s">
        <v>281</v>
      </c>
      <c r="B139" s="27" t="n">
        <v>4</v>
      </c>
      <c r="C139" s="26" t="s">
        <v>288</v>
      </c>
      <c r="D139" s="26" t="s">
        <v>289</v>
      </c>
      <c r="E139" s="27" t="s">
        <v>43</v>
      </c>
      <c r="F139" s="28" t="n">
        <v>7</v>
      </c>
      <c r="G139" s="28" t="n">
        <v>0</v>
      </c>
      <c r="H139" s="28" t="n">
        <v>3</v>
      </c>
      <c r="I139" s="28" t="n">
        <v>0</v>
      </c>
      <c r="J139" s="28" t="n">
        <v>0</v>
      </c>
      <c r="K139" s="28" t="n">
        <f aca="false">SUM(F139:J139)</f>
        <v>10</v>
      </c>
      <c r="L139" s="27" t="s">
        <v>49</v>
      </c>
      <c r="M139" s="29"/>
      <c r="N139" s="29"/>
      <c r="O139" s="29"/>
      <c r="P139" s="29"/>
    </row>
    <row r="140" s="29" customFormat="true" ht="22.15" hidden="false" customHeight="true" outlineLevel="0" collapsed="false">
      <c r="A140" s="36" t="s">
        <v>281</v>
      </c>
      <c r="B140" s="27" t="n">
        <v>5</v>
      </c>
      <c r="C140" s="26" t="s">
        <v>290</v>
      </c>
      <c r="D140" s="26" t="s">
        <v>77</v>
      </c>
      <c r="E140" s="27" t="s">
        <v>43</v>
      </c>
      <c r="F140" s="28" t="n">
        <v>7</v>
      </c>
      <c r="G140" s="28" t="n">
        <v>3</v>
      </c>
      <c r="H140" s="28" t="n">
        <v>0</v>
      </c>
      <c r="I140" s="28" t="n">
        <v>0</v>
      </c>
      <c r="J140" s="28" t="n">
        <v>0</v>
      </c>
      <c r="K140" s="28" t="n">
        <f aca="false">SUM(F140:J140)</f>
        <v>10</v>
      </c>
      <c r="L140" s="27" t="s">
        <v>49</v>
      </c>
    </row>
    <row r="141" s="29" customFormat="true" ht="22.15" hidden="false" customHeight="true" outlineLevel="0" collapsed="false">
      <c r="A141" s="30" t="s">
        <v>281</v>
      </c>
      <c r="B141" s="4" t="n">
        <v>6</v>
      </c>
      <c r="C141" s="3" t="s">
        <v>291</v>
      </c>
      <c r="D141" s="3" t="s">
        <v>292</v>
      </c>
      <c r="E141" s="4" t="s">
        <v>43</v>
      </c>
      <c r="F141" s="5" t="n">
        <v>3</v>
      </c>
      <c r="G141" s="5" t="n">
        <v>6</v>
      </c>
      <c r="H141" s="5" t="n">
        <v>0</v>
      </c>
      <c r="I141" s="5" t="n">
        <v>0</v>
      </c>
      <c r="J141" s="5" t="n">
        <v>0</v>
      </c>
      <c r="K141" s="5" t="n">
        <f aca="false">SUM(F141:J141)</f>
        <v>9</v>
      </c>
      <c r="L141" s="4"/>
      <c r="M141" s="1"/>
      <c r="N141" s="1"/>
      <c r="O141" s="1"/>
      <c r="P141" s="1"/>
    </row>
    <row r="142" customFormat="false" ht="22.15" hidden="false" customHeight="true" outlineLevel="0" collapsed="false">
      <c r="A142" s="36" t="s">
        <v>281</v>
      </c>
      <c r="B142" s="27" t="n">
        <v>7</v>
      </c>
      <c r="C142" s="26" t="s">
        <v>293</v>
      </c>
      <c r="D142" s="26" t="s">
        <v>294</v>
      </c>
      <c r="E142" s="27" t="s">
        <v>43</v>
      </c>
      <c r="F142" s="28" t="n">
        <v>7</v>
      </c>
      <c r="G142" s="28" t="n">
        <v>0</v>
      </c>
      <c r="H142" s="28" t="n">
        <v>1</v>
      </c>
      <c r="I142" s="28" t="n">
        <v>0</v>
      </c>
      <c r="J142" s="28" t="n">
        <v>0</v>
      </c>
      <c r="K142" s="28" t="n">
        <f aca="false">SUM(F142:J142)</f>
        <v>8</v>
      </c>
      <c r="L142" s="27" t="s">
        <v>49</v>
      </c>
      <c r="M142" s="29"/>
      <c r="N142" s="29"/>
      <c r="O142" s="29"/>
      <c r="P142" s="29"/>
    </row>
    <row r="143" s="29" customFormat="true" ht="22.15" hidden="false" customHeight="true" outlineLevel="0" collapsed="false">
      <c r="A143" s="36" t="s">
        <v>281</v>
      </c>
      <c r="B143" s="27" t="n">
        <v>8</v>
      </c>
      <c r="C143" s="26" t="s">
        <v>295</v>
      </c>
      <c r="D143" s="26" t="s">
        <v>296</v>
      </c>
      <c r="E143" s="27" t="s">
        <v>43</v>
      </c>
      <c r="F143" s="28" t="n">
        <v>7</v>
      </c>
      <c r="G143" s="28" t="n">
        <v>0</v>
      </c>
      <c r="H143" s="28" t="n">
        <v>0</v>
      </c>
      <c r="I143" s="28" t="n">
        <v>1</v>
      </c>
      <c r="J143" s="28" t="n">
        <v>0</v>
      </c>
      <c r="K143" s="28" t="n">
        <f aca="false">SUM(F143:J143)</f>
        <v>8</v>
      </c>
      <c r="L143" s="27" t="s">
        <v>49</v>
      </c>
    </row>
    <row r="144" s="29" customFormat="true" ht="22.15" hidden="false" customHeight="true" outlineLevel="0" collapsed="false">
      <c r="A144" s="36" t="s">
        <v>281</v>
      </c>
      <c r="B144" s="27" t="n">
        <v>9</v>
      </c>
      <c r="C144" s="26" t="s">
        <v>297</v>
      </c>
      <c r="D144" s="26" t="s">
        <v>298</v>
      </c>
      <c r="E144" s="27" t="s">
        <v>43</v>
      </c>
      <c r="F144" s="28" t="n">
        <v>7</v>
      </c>
      <c r="G144" s="28" t="n">
        <v>0</v>
      </c>
      <c r="H144" s="28" t="n">
        <v>0</v>
      </c>
      <c r="I144" s="28" t="n">
        <v>0</v>
      </c>
      <c r="J144" s="28" t="n">
        <v>0</v>
      </c>
      <c r="K144" s="28" t="n">
        <f aca="false">SUM(F144:J144)</f>
        <v>7</v>
      </c>
      <c r="L144" s="27" t="s">
        <v>49</v>
      </c>
    </row>
    <row r="145" s="29" customFormat="true" ht="22.15" hidden="false" customHeight="true" outlineLevel="0" collapsed="false">
      <c r="A145" s="36" t="s">
        <v>281</v>
      </c>
      <c r="B145" s="27" t="n">
        <v>10</v>
      </c>
      <c r="C145" s="26" t="s">
        <v>299</v>
      </c>
      <c r="D145" s="26" t="s">
        <v>300</v>
      </c>
      <c r="E145" s="27" t="s">
        <v>43</v>
      </c>
      <c r="F145" s="28" t="n">
        <v>7</v>
      </c>
      <c r="G145" s="28" t="n">
        <v>0</v>
      </c>
      <c r="H145" s="28" t="n">
        <v>0</v>
      </c>
      <c r="I145" s="28" t="n">
        <v>0</v>
      </c>
      <c r="J145" s="28" t="n">
        <v>0</v>
      </c>
      <c r="K145" s="28" t="n">
        <f aca="false">SUM(F145:J145)</f>
        <v>7</v>
      </c>
      <c r="L145" s="27" t="s">
        <v>49</v>
      </c>
    </row>
    <row r="146" s="29" customFormat="true" ht="22.15" hidden="false" customHeight="true" outlineLevel="0" collapsed="false">
      <c r="A146" s="37" t="s">
        <v>301</v>
      </c>
      <c r="B146" s="12" t="n">
        <v>1</v>
      </c>
      <c r="C146" s="11" t="s">
        <v>302</v>
      </c>
      <c r="D146" s="11" t="s">
        <v>303</v>
      </c>
      <c r="E146" s="12" t="s">
        <v>43</v>
      </c>
      <c r="F146" s="13" t="n">
        <v>7</v>
      </c>
      <c r="G146" s="13" t="n">
        <v>7</v>
      </c>
      <c r="H146" s="13" t="n">
        <v>7</v>
      </c>
      <c r="I146" s="13" t="n">
        <v>7</v>
      </c>
      <c r="J146" s="13" t="n">
        <v>0</v>
      </c>
      <c r="K146" s="13" t="n">
        <f aca="false">SUM(F146:J146)</f>
        <v>28</v>
      </c>
      <c r="L146" s="12" t="s">
        <v>68</v>
      </c>
      <c r="M146" s="37" t="n">
        <f aca="false">SUM(K146:K155)</f>
        <v>181</v>
      </c>
      <c r="N146" s="14" t="n">
        <v>11</v>
      </c>
      <c r="O146" s="14"/>
      <c r="P146" s="14"/>
    </row>
    <row r="147" s="14" customFormat="true" ht="22.15" hidden="false" customHeight="true" outlineLevel="0" collapsed="false">
      <c r="A147" s="38" t="s">
        <v>301</v>
      </c>
      <c r="B147" s="17" t="n">
        <v>2</v>
      </c>
      <c r="C147" s="16" t="s">
        <v>304</v>
      </c>
      <c r="D147" s="16" t="s">
        <v>305</v>
      </c>
      <c r="E147" s="17" t="s">
        <v>43</v>
      </c>
      <c r="F147" s="18" t="n">
        <v>0</v>
      </c>
      <c r="G147" s="18" t="n">
        <v>7</v>
      </c>
      <c r="H147" s="18" t="n">
        <v>7</v>
      </c>
      <c r="I147" s="18" t="n">
        <v>0</v>
      </c>
      <c r="J147" s="18" t="n">
        <v>7</v>
      </c>
      <c r="K147" s="18" t="n">
        <f aca="false">SUM(F147:J147)</f>
        <v>21</v>
      </c>
      <c r="L147" s="17" t="s">
        <v>71</v>
      </c>
      <c r="M147" s="19"/>
      <c r="N147" s="19"/>
      <c r="O147" s="19"/>
      <c r="P147" s="19"/>
    </row>
    <row r="148" s="19" customFormat="true" ht="22.15" hidden="false" customHeight="true" outlineLevel="0" collapsed="false">
      <c r="A148" s="38" t="s">
        <v>301</v>
      </c>
      <c r="B148" s="17" t="n">
        <v>3</v>
      </c>
      <c r="C148" s="16" t="s">
        <v>306</v>
      </c>
      <c r="D148" s="16" t="s">
        <v>307</v>
      </c>
      <c r="E148" s="17" t="s">
        <v>43</v>
      </c>
      <c r="F148" s="18" t="n">
        <v>7</v>
      </c>
      <c r="G148" s="18" t="n">
        <v>7</v>
      </c>
      <c r="H148" s="18" t="n">
        <v>6</v>
      </c>
      <c r="I148" s="18" t="n">
        <v>1</v>
      </c>
      <c r="J148" s="18" t="n">
        <v>0</v>
      </c>
      <c r="K148" s="18" t="n">
        <f aca="false">SUM(F148:J148)</f>
        <v>21</v>
      </c>
      <c r="L148" s="17" t="s">
        <v>71</v>
      </c>
    </row>
    <row r="149" s="19" customFormat="true" ht="22.15" hidden="false" customHeight="true" outlineLevel="0" collapsed="false">
      <c r="A149" s="24" t="s">
        <v>301</v>
      </c>
      <c r="B149" s="22" t="n">
        <v>4</v>
      </c>
      <c r="C149" s="21" t="s">
        <v>308</v>
      </c>
      <c r="D149" s="21" t="s">
        <v>309</v>
      </c>
      <c r="E149" s="22" t="s">
        <v>43</v>
      </c>
      <c r="F149" s="23" t="n">
        <v>7</v>
      </c>
      <c r="G149" s="23" t="n">
        <v>0</v>
      </c>
      <c r="H149" s="23" t="n">
        <v>7</v>
      </c>
      <c r="I149" s="23" t="n">
        <v>7</v>
      </c>
      <c r="J149" s="23" t="n">
        <v>0</v>
      </c>
      <c r="K149" s="23" t="n">
        <f aca="false">SUM(F149:J149)</f>
        <v>21</v>
      </c>
      <c r="L149" s="22" t="s">
        <v>44</v>
      </c>
      <c r="M149" s="35"/>
      <c r="N149" s="35"/>
      <c r="O149" s="35"/>
      <c r="P149" s="35"/>
    </row>
    <row r="150" s="35" customFormat="true" ht="22.15" hidden="false" customHeight="true" outlineLevel="0" collapsed="false">
      <c r="A150" s="24" t="s">
        <v>301</v>
      </c>
      <c r="B150" s="22" t="n">
        <v>5</v>
      </c>
      <c r="C150" s="21" t="s">
        <v>310</v>
      </c>
      <c r="D150" s="21" t="s">
        <v>311</v>
      </c>
      <c r="E150" s="22" t="s">
        <v>43</v>
      </c>
      <c r="F150" s="23" t="n">
        <v>7</v>
      </c>
      <c r="G150" s="23" t="n">
        <v>1</v>
      </c>
      <c r="H150" s="23" t="n">
        <v>3</v>
      </c>
      <c r="I150" s="23" t="n">
        <v>7</v>
      </c>
      <c r="J150" s="23" t="n">
        <v>0</v>
      </c>
      <c r="K150" s="23" t="n">
        <f aca="false">SUM(F150:J150)</f>
        <v>18</v>
      </c>
      <c r="L150" s="22" t="s">
        <v>44</v>
      </c>
    </row>
    <row r="151" s="35" customFormat="true" ht="22.15" hidden="false" customHeight="true" outlineLevel="0" collapsed="false">
      <c r="A151" s="24" t="s">
        <v>301</v>
      </c>
      <c r="B151" s="22" t="n">
        <v>6</v>
      </c>
      <c r="C151" s="21" t="s">
        <v>312</v>
      </c>
      <c r="D151" s="21" t="s">
        <v>313</v>
      </c>
      <c r="E151" s="22" t="s">
        <v>43</v>
      </c>
      <c r="F151" s="23" t="n">
        <v>7</v>
      </c>
      <c r="G151" s="23" t="n">
        <v>0</v>
      </c>
      <c r="H151" s="23" t="n">
        <v>7</v>
      </c>
      <c r="I151" s="23" t="n">
        <v>1</v>
      </c>
      <c r="J151" s="23" t="n">
        <v>0</v>
      </c>
      <c r="K151" s="23" t="n">
        <f aca="false">SUM(F151:J151)</f>
        <v>15</v>
      </c>
      <c r="L151" s="22" t="s">
        <v>44</v>
      </c>
    </row>
    <row r="152" s="35" customFormat="true" ht="22.15" hidden="false" customHeight="true" outlineLevel="0" collapsed="false">
      <c r="A152" s="24" t="s">
        <v>301</v>
      </c>
      <c r="B152" s="22" t="n">
        <v>7</v>
      </c>
      <c r="C152" s="21" t="s">
        <v>314</v>
      </c>
      <c r="D152" s="21" t="s">
        <v>315</v>
      </c>
      <c r="E152" s="22" t="s">
        <v>43</v>
      </c>
      <c r="F152" s="23" t="n">
        <v>7</v>
      </c>
      <c r="G152" s="23" t="n">
        <v>0</v>
      </c>
      <c r="H152" s="23" t="n">
        <v>7</v>
      </c>
      <c r="I152" s="23" t="n">
        <v>1</v>
      </c>
      <c r="J152" s="23" t="n">
        <v>0</v>
      </c>
      <c r="K152" s="23" t="n">
        <f aca="false">SUM(F152:J152)</f>
        <v>15</v>
      </c>
      <c r="L152" s="22" t="s">
        <v>44</v>
      </c>
    </row>
    <row r="153" s="35" customFormat="true" ht="22.15" hidden="false" customHeight="true" outlineLevel="0" collapsed="false">
      <c r="A153" s="36" t="s">
        <v>301</v>
      </c>
      <c r="B153" s="27" t="n">
        <v>8</v>
      </c>
      <c r="C153" s="26" t="s">
        <v>316</v>
      </c>
      <c r="D153" s="26" t="s">
        <v>317</v>
      </c>
      <c r="E153" s="27" t="s">
        <v>43</v>
      </c>
      <c r="F153" s="28" t="n">
        <v>7</v>
      </c>
      <c r="G153" s="28" t="n">
        <v>0</v>
      </c>
      <c r="H153" s="28" t="n">
        <v>7</v>
      </c>
      <c r="I153" s="28" t="n">
        <v>0</v>
      </c>
      <c r="J153" s="28" t="n">
        <v>0</v>
      </c>
      <c r="K153" s="28" t="n">
        <f aca="false">SUM(F153:J153)</f>
        <v>14</v>
      </c>
      <c r="L153" s="27" t="s">
        <v>49</v>
      </c>
      <c r="M153" s="29"/>
      <c r="N153" s="29"/>
      <c r="O153" s="29"/>
      <c r="P153" s="29"/>
    </row>
    <row r="154" s="29" customFormat="true" ht="22.15" hidden="false" customHeight="true" outlineLevel="0" collapsed="false">
      <c r="A154" s="36" t="s">
        <v>301</v>
      </c>
      <c r="B154" s="27" t="n">
        <v>9</v>
      </c>
      <c r="C154" s="26" t="s">
        <v>318</v>
      </c>
      <c r="D154" s="26" t="s">
        <v>319</v>
      </c>
      <c r="E154" s="27" t="s">
        <v>43</v>
      </c>
      <c r="F154" s="28" t="n">
        <v>7</v>
      </c>
      <c r="G154" s="28" t="n">
        <v>0</v>
      </c>
      <c r="H154" s="28" t="n">
        <v>7</v>
      </c>
      <c r="I154" s="28" t="n">
        <v>0</v>
      </c>
      <c r="J154" s="28" t="n">
        <v>0</v>
      </c>
      <c r="K154" s="28" t="n">
        <f aca="false">SUM(F154:J154)</f>
        <v>14</v>
      </c>
      <c r="L154" s="27" t="s">
        <v>49</v>
      </c>
    </row>
    <row r="155" s="29" customFormat="true" ht="22.15" hidden="false" customHeight="true" outlineLevel="0" collapsed="false">
      <c r="A155" s="36" t="s">
        <v>301</v>
      </c>
      <c r="B155" s="27" t="n">
        <v>10</v>
      </c>
      <c r="C155" s="26" t="s">
        <v>320</v>
      </c>
      <c r="D155" s="26" t="s">
        <v>321</v>
      </c>
      <c r="E155" s="27" t="s">
        <v>43</v>
      </c>
      <c r="F155" s="28" t="n">
        <v>7</v>
      </c>
      <c r="G155" s="28" t="n">
        <v>0</v>
      </c>
      <c r="H155" s="28" t="n">
        <v>7</v>
      </c>
      <c r="I155" s="28" t="n">
        <v>0</v>
      </c>
      <c r="J155" s="28" t="n">
        <v>0</v>
      </c>
      <c r="K155" s="28" t="n">
        <f aca="false">SUM(F155:J155)</f>
        <v>14</v>
      </c>
      <c r="L155" s="27" t="s">
        <v>49</v>
      </c>
    </row>
    <row r="156" s="29" customFormat="true" ht="22.15" hidden="false" customHeight="true" outlineLevel="0" collapsed="false">
      <c r="A156" s="37" t="s">
        <v>322</v>
      </c>
      <c r="B156" s="12" t="n">
        <v>1</v>
      </c>
      <c r="C156" s="11" t="s">
        <v>323</v>
      </c>
      <c r="D156" s="11" t="s">
        <v>324</v>
      </c>
      <c r="E156" s="12" t="s">
        <v>43</v>
      </c>
      <c r="F156" s="13" t="n">
        <v>7</v>
      </c>
      <c r="G156" s="13" t="n">
        <v>7</v>
      </c>
      <c r="H156" s="13" t="n">
        <v>4</v>
      </c>
      <c r="I156" s="13" t="n">
        <v>6</v>
      </c>
      <c r="J156" s="13" t="n">
        <v>7</v>
      </c>
      <c r="K156" s="13" t="n">
        <v>31</v>
      </c>
      <c r="L156" s="12" t="s">
        <v>68</v>
      </c>
      <c r="M156" s="37" t="n">
        <f aca="false">SUM(K156:K165)</f>
        <v>246</v>
      </c>
      <c r="N156" s="14" t="n">
        <v>3</v>
      </c>
      <c r="O156" s="14"/>
      <c r="P156" s="14"/>
    </row>
    <row r="157" s="14" customFormat="true" ht="22.15" hidden="false" customHeight="true" outlineLevel="0" collapsed="false">
      <c r="A157" s="38" t="s">
        <v>322</v>
      </c>
      <c r="B157" s="17" t="n">
        <v>2</v>
      </c>
      <c r="C157" s="16" t="s">
        <v>325</v>
      </c>
      <c r="D157" s="16" t="s">
        <v>326</v>
      </c>
      <c r="E157" s="17" t="s">
        <v>43</v>
      </c>
      <c r="F157" s="18" t="n">
        <v>7</v>
      </c>
      <c r="G157" s="18" t="n">
        <v>7</v>
      </c>
      <c r="H157" s="18" t="n">
        <v>7</v>
      </c>
      <c r="I157" s="18" t="n">
        <v>7</v>
      </c>
      <c r="J157" s="18" t="n">
        <v>0</v>
      </c>
      <c r="K157" s="18" t="n">
        <v>28</v>
      </c>
      <c r="L157" s="17" t="s">
        <v>71</v>
      </c>
      <c r="M157" s="19"/>
      <c r="N157" s="19"/>
      <c r="O157" s="19"/>
      <c r="P157" s="19"/>
    </row>
    <row r="158" s="19" customFormat="true" ht="22.15" hidden="false" customHeight="true" outlineLevel="0" collapsed="false">
      <c r="A158" s="38" t="s">
        <v>322</v>
      </c>
      <c r="B158" s="17" t="n">
        <v>3</v>
      </c>
      <c r="C158" s="16" t="s">
        <v>327</v>
      </c>
      <c r="D158" s="16" t="s">
        <v>328</v>
      </c>
      <c r="E158" s="17" t="s">
        <v>43</v>
      </c>
      <c r="F158" s="18" t="n">
        <v>7</v>
      </c>
      <c r="G158" s="18" t="n">
        <v>7</v>
      </c>
      <c r="H158" s="18" t="n">
        <v>7</v>
      </c>
      <c r="I158" s="18" t="n">
        <v>7</v>
      </c>
      <c r="J158" s="18" t="n">
        <v>0</v>
      </c>
      <c r="K158" s="18" t="n">
        <v>28</v>
      </c>
      <c r="L158" s="17" t="s">
        <v>71</v>
      </c>
    </row>
    <row r="159" s="19" customFormat="true" ht="22.15" hidden="false" customHeight="true" outlineLevel="0" collapsed="false">
      <c r="A159" s="24" t="s">
        <v>322</v>
      </c>
      <c r="B159" s="22" t="n">
        <v>4</v>
      </c>
      <c r="C159" s="21" t="s">
        <v>329</v>
      </c>
      <c r="D159" s="21" t="s">
        <v>330</v>
      </c>
      <c r="E159" s="22" t="s">
        <v>43</v>
      </c>
      <c r="F159" s="23" t="n">
        <v>6</v>
      </c>
      <c r="G159" s="23" t="n">
        <v>7</v>
      </c>
      <c r="H159" s="23" t="n">
        <v>7</v>
      </c>
      <c r="I159" s="23" t="n">
        <v>7</v>
      </c>
      <c r="J159" s="23" t="n">
        <v>0</v>
      </c>
      <c r="K159" s="23" t="n">
        <v>27</v>
      </c>
      <c r="L159" s="22" t="s">
        <v>44</v>
      </c>
      <c r="M159" s="35"/>
      <c r="N159" s="35"/>
      <c r="O159" s="35"/>
      <c r="P159" s="35"/>
    </row>
    <row r="160" s="35" customFormat="true" ht="22.15" hidden="false" customHeight="true" outlineLevel="0" collapsed="false">
      <c r="A160" s="24" t="s">
        <v>322</v>
      </c>
      <c r="B160" s="22" t="n">
        <v>5</v>
      </c>
      <c r="C160" s="21" t="s">
        <v>331</v>
      </c>
      <c r="D160" s="21" t="s">
        <v>332</v>
      </c>
      <c r="E160" s="22" t="s">
        <v>43</v>
      </c>
      <c r="F160" s="23" t="n">
        <v>7</v>
      </c>
      <c r="G160" s="23" t="n">
        <v>1</v>
      </c>
      <c r="H160" s="23" t="n">
        <v>2</v>
      </c>
      <c r="I160" s="23" t="n">
        <v>7</v>
      </c>
      <c r="J160" s="23" t="n">
        <v>7</v>
      </c>
      <c r="K160" s="23" t="n">
        <v>24</v>
      </c>
      <c r="L160" s="22" t="s">
        <v>44</v>
      </c>
    </row>
    <row r="161" s="35" customFormat="true" ht="22.15" hidden="false" customHeight="true" outlineLevel="0" collapsed="false">
      <c r="A161" s="24" t="s">
        <v>322</v>
      </c>
      <c r="B161" s="22" t="n">
        <v>6</v>
      </c>
      <c r="C161" s="21" t="s">
        <v>329</v>
      </c>
      <c r="D161" s="21" t="s">
        <v>333</v>
      </c>
      <c r="E161" s="22" t="s">
        <v>43</v>
      </c>
      <c r="F161" s="23" t="n">
        <v>2</v>
      </c>
      <c r="G161" s="23" t="n">
        <v>7</v>
      </c>
      <c r="H161" s="23" t="n">
        <v>7</v>
      </c>
      <c r="I161" s="23" t="n">
        <v>0</v>
      </c>
      <c r="J161" s="23" t="n">
        <v>7</v>
      </c>
      <c r="K161" s="23" t="n">
        <v>23</v>
      </c>
      <c r="L161" s="22" t="s">
        <v>44</v>
      </c>
    </row>
    <row r="162" s="35" customFormat="true" ht="22.15" hidden="false" customHeight="true" outlineLevel="0" collapsed="false">
      <c r="A162" s="24" t="s">
        <v>322</v>
      </c>
      <c r="B162" s="22" t="n">
        <v>7</v>
      </c>
      <c r="C162" s="21" t="s">
        <v>334</v>
      </c>
      <c r="D162" s="21" t="s">
        <v>335</v>
      </c>
      <c r="E162" s="22" t="s">
        <v>43</v>
      </c>
      <c r="F162" s="23" t="n">
        <v>5</v>
      </c>
      <c r="G162" s="23" t="n">
        <v>7</v>
      </c>
      <c r="H162" s="23" t="n">
        <v>7</v>
      </c>
      <c r="I162" s="23" t="n">
        <v>0</v>
      </c>
      <c r="J162" s="23" t="n">
        <v>3</v>
      </c>
      <c r="K162" s="23" t="n">
        <v>22</v>
      </c>
      <c r="L162" s="22" t="s">
        <v>44</v>
      </c>
    </row>
    <row r="163" s="35" customFormat="true" ht="22.15" hidden="false" customHeight="true" outlineLevel="0" collapsed="false">
      <c r="A163" s="36" t="s">
        <v>322</v>
      </c>
      <c r="B163" s="27" t="n">
        <v>8</v>
      </c>
      <c r="C163" s="26" t="s">
        <v>336</v>
      </c>
      <c r="D163" s="26" t="s">
        <v>337</v>
      </c>
      <c r="E163" s="27" t="s">
        <v>52</v>
      </c>
      <c r="F163" s="28" t="n">
        <v>7</v>
      </c>
      <c r="G163" s="28" t="n">
        <v>7</v>
      </c>
      <c r="H163" s="28" t="n">
        <v>7</v>
      </c>
      <c r="I163" s="28" t="n">
        <v>0</v>
      </c>
      <c r="J163" s="28" t="n">
        <v>0</v>
      </c>
      <c r="K163" s="28" t="n">
        <v>21</v>
      </c>
      <c r="L163" s="27" t="s">
        <v>49</v>
      </c>
      <c r="M163" s="29"/>
      <c r="N163" s="29"/>
      <c r="O163" s="29"/>
      <c r="P163" s="29"/>
    </row>
    <row r="164" s="29" customFormat="true" ht="22.15" hidden="false" customHeight="true" outlineLevel="0" collapsed="false">
      <c r="A164" s="36" t="s">
        <v>322</v>
      </c>
      <c r="B164" s="27" t="n">
        <v>9</v>
      </c>
      <c r="C164" s="26" t="s">
        <v>338</v>
      </c>
      <c r="D164" s="26" t="s">
        <v>339</v>
      </c>
      <c r="E164" s="27" t="s">
        <v>43</v>
      </c>
      <c r="F164" s="28" t="n">
        <v>7</v>
      </c>
      <c r="G164" s="28" t="n">
        <v>7</v>
      </c>
      <c r="H164" s="28" t="n">
        <v>7</v>
      </c>
      <c r="I164" s="28" t="n">
        <v>0</v>
      </c>
      <c r="J164" s="28" t="n">
        <v>0</v>
      </c>
      <c r="K164" s="28" t="n">
        <v>21</v>
      </c>
      <c r="L164" s="27" t="s">
        <v>49</v>
      </c>
    </row>
    <row r="165" s="29" customFormat="true" ht="22.15" hidden="false" customHeight="true" outlineLevel="0" collapsed="false">
      <c r="A165" s="36" t="s">
        <v>322</v>
      </c>
      <c r="B165" s="27" t="n">
        <v>10</v>
      </c>
      <c r="C165" s="26" t="s">
        <v>340</v>
      </c>
      <c r="D165" s="26" t="s">
        <v>341</v>
      </c>
      <c r="E165" s="27" t="s">
        <v>43</v>
      </c>
      <c r="F165" s="28" t="n">
        <v>7</v>
      </c>
      <c r="G165" s="28" t="n">
        <v>7</v>
      </c>
      <c r="H165" s="28" t="n">
        <v>7</v>
      </c>
      <c r="I165" s="28" t="n">
        <v>0</v>
      </c>
      <c r="J165" s="28" t="n">
        <v>0</v>
      </c>
      <c r="K165" s="28" t="n">
        <v>21</v>
      </c>
      <c r="L165" s="27" t="s">
        <v>49</v>
      </c>
    </row>
    <row r="166" s="29" customFormat="true" ht="22.15" hidden="false" customHeight="true" outlineLevel="0" collapsed="false">
      <c r="A166" s="37" t="s">
        <v>342</v>
      </c>
      <c r="B166" s="12" t="n">
        <v>1</v>
      </c>
      <c r="C166" s="11" t="s">
        <v>343</v>
      </c>
      <c r="D166" s="11" t="s">
        <v>344</v>
      </c>
      <c r="E166" s="12" t="s">
        <v>43</v>
      </c>
      <c r="F166" s="13" t="n">
        <v>7</v>
      </c>
      <c r="G166" s="13" t="n">
        <v>7</v>
      </c>
      <c r="H166" s="13" t="n">
        <v>7</v>
      </c>
      <c r="I166" s="13" t="n">
        <v>0</v>
      </c>
      <c r="J166" s="13" t="n">
        <v>7</v>
      </c>
      <c r="K166" s="13" t="n">
        <v>28</v>
      </c>
      <c r="L166" s="12" t="s">
        <v>68</v>
      </c>
      <c r="M166" s="37" t="n">
        <f aca="false">SUM(K166:K175)</f>
        <v>181</v>
      </c>
      <c r="N166" s="14" t="n">
        <v>11</v>
      </c>
      <c r="O166" s="14"/>
      <c r="P166" s="14"/>
    </row>
    <row r="167" s="14" customFormat="true" ht="22.15" hidden="false" customHeight="true" outlineLevel="0" collapsed="false">
      <c r="A167" s="38" t="s">
        <v>342</v>
      </c>
      <c r="B167" s="17" t="n">
        <v>2</v>
      </c>
      <c r="C167" s="16" t="s">
        <v>345</v>
      </c>
      <c r="D167" s="16" t="s">
        <v>346</v>
      </c>
      <c r="E167" s="17" t="s">
        <v>43</v>
      </c>
      <c r="F167" s="18" t="n">
        <v>7</v>
      </c>
      <c r="G167" s="18" t="n">
        <v>7</v>
      </c>
      <c r="H167" s="18" t="n">
        <v>7</v>
      </c>
      <c r="I167" s="18" t="n">
        <v>0</v>
      </c>
      <c r="J167" s="18" t="n">
        <v>0</v>
      </c>
      <c r="K167" s="18" t="n">
        <v>21</v>
      </c>
      <c r="L167" s="17" t="s">
        <v>71</v>
      </c>
      <c r="M167" s="19"/>
      <c r="N167" s="19"/>
      <c r="O167" s="19"/>
      <c r="P167" s="19"/>
    </row>
    <row r="168" s="19" customFormat="true" ht="22.15" hidden="false" customHeight="true" outlineLevel="0" collapsed="false">
      <c r="A168" s="38" t="s">
        <v>342</v>
      </c>
      <c r="B168" s="17" t="n">
        <v>3</v>
      </c>
      <c r="C168" s="16" t="s">
        <v>347</v>
      </c>
      <c r="D168" s="16" t="s">
        <v>348</v>
      </c>
      <c r="E168" s="17" t="s">
        <v>43</v>
      </c>
      <c r="F168" s="18" t="n">
        <v>7</v>
      </c>
      <c r="G168" s="18" t="n">
        <v>7</v>
      </c>
      <c r="H168" s="18" t="n">
        <v>7</v>
      </c>
      <c r="I168" s="18" t="n">
        <v>0</v>
      </c>
      <c r="J168" s="18" t="n">
        <v>0</v>
      </c>
      <c r="K168" s="18" t="n">
        <v>21</v>
      </c>
      <c r="L168" s="17" t="s">
        <v>71</v>
      </c>
    </row>
    <row r="169" s="19" customFormat="true" ht="22.15" hidden="false" customHeight="true" outlineLevel="0" collapsed="false">
      <c r="A169" s="24" t="s">
        <v>342</v>
      </c>
      <c r="B169" s="22" t="n">
        <v>4</v>
      </c>
      <c r="C169" s="21" t="s">
        <v>349</v>
      </c>
      <c r="D169" s="21" t="s">
        <v>350</v>
      </c>
      <c r="E169" s="22" t="s">
        <v>43</v>
      </c>
      <c r="F169" s="23" t="n">
        <v>7</v>
      </c>
      <c r="G169" s="23" t="n">
        <v>0</v>
      </c>
      <c r="H169" s="23" t="n">
        <v>4</v>
      </c>
      <c r="I169" s="23" t="n">
        <v>0</v>
      </c>
      <c r="J169" s="23" t="n">
        <v>7</v>
      </c>
      <c r="K169" s="23" t="n">
        <v>18</v>
      </c>
      <c r="L169" s="22" t="s">
        <v>44</v>
      </c>
      <c r="M169" s="35"/>
      <c r="N169" s="35"/>
      <c r="O169" s="35"/>
      <c r="P169" s="35"/>
    </row>
    <row r="170" s="35" customFormat="true" ht="22.15" hidden="false" customHeight="true" outlineLevel="0" collapsed="false">
      <c r="A170" s="24" t="s">
        <v>342</v>
      </c>
      <c r="B170" s="22" t="n">
        <v>5</v>
      </c>
      <c r="C170" s="21" t="s">
        <v>351</v>
      </c>
      <c r="D170" s="21" t="s">
        <v>352</v>
      </c>
      <c r="E170" s="22" t="s">
        <v>43</v>
      </c>
      <c r="F170" s="23" t="n">
        <v>7</v>
      </c>
      <c r="G170" s="23" t="n">
        <v>4</v>
      </c>
      <c r="H170" s="23" t="n">
        <v>0</v>
      </c>
      <c r="I170" s="23" t="n">
        <v>0</v>
      </c>
      <c r="J170" s="23" t="n">
        <v>7</v>
      </c>
      <c r="K170" s="23" t="n">
        <v>18</v>
      </c>
      <c r="L170" s="22" t="s">
        <v>44</v>
      </c>
    </row>
    <row r="171" s="35" customFormat="true" ht="22.15" hidden="false" customHeight="true" outlineLevel="0" collapsed="false">
      <c r="A171" s="24" t="s">
        <v>342</v>
      </c>
      <c r="B171" s="22" t="n">
        <v>6</v>
      </c>
      <c r="C171" s="21" t="s">
        <v>353</v>
      </c>
      <c r="D171" s="21" t="s">
        <v>354</v>
      </c>
      <c r="E171" s="22" t="s">
        <v>43</v>
      </c>
      <c r="F171" s="23" t="n">
        <v>7</v>
      </c>
      <c r="G171" s="23" t="n">
        <v>7</v>
      </c>
      <c r="H171" s="23" t="n">
        <v>3</v>
      </c>
      <c r="I171" s="23" t="n">
        <v>0</v>
      </c>
      <c r="J171" s="23" t="n">
        <v>0</v>
      </c>
      <c r="K171" s="23" t="n">
        <v>17</v>
      </c>
      <c r="L171" s="22" t="s">
        <v>44</v>
      </c>
    </row>
    <row r="172" s="35" customFormat="true" ht="22.15" hidden="false" customHeight="true" outlineLevel="0" collapsed="false">
      <c r="A172" s="24" t="s">
        <v>342</v>
      </c>
      <c r="B172" s="22" t="n">
        <v>7</v>
      </c>
      <c r="C172" s="21" t="s">
        <v>355</v>
      </c>
      <c r="D172" s="21" t="s">
        <v>356</v>
      </c>
      <c r="E172" s="22" t="s">
        <v>43</v>
      </c>
      <c r="F172" s="23" t="n">
        <v>7</v>
      </c>
      <c r="G172" s="23" t="n">
        <v>0</v>
      </c>
      <c r="H172" s="23" t="n">
        <v>7</v>
      </c>
      <c r="I172" s="23" t="n">
        <v>1</v>
      </c>
      <c r="J172" s="23" t="n">
        <v>0</v>
      </c>
      <c r="K172" s="23" t="n">
        <v>15</v>
      </c>
      <c r="L172" s="22" t="s">
        <v>44</v>
      </c>
    </row>
    <row r="173" s="35" customFormat="true" ht="22.15" hidden="false" customHeight="true" outlineLevel="0" collapsed="false">
      <c r="A173" s="36" t="s">
        <v>342</v>
      </c>
      <c r="B173" s="27" t="n">
        <v>8</v>
      </c>
      <c r="C173" s="26" t="s">
        <v>357</v>
      </c>
      <c r="D173" s="26" t="s">
        <v>358</v>
      </c>
      <c r="E173" s="27" t="s">
        <v>43</v>
      </c>
      <c r="F173" s="28" t="n">
        <v>7</v>
      </c>
      <c r="G173" s="28" t="n">
        <v>0</v>
      </c>
      <c r="H173" s="28" t="n">
        <v>1</v>
      </c>
      <c r="I173" s="28" t="n">
        <v>0</v>
      </c>
      <c r="J173" s="28" t="n">
        <v>7</v>
      </c>
      <c r="K173" s="28" t="n">
        <v>15</v>
      </c>
      <c r="L173" s="27" t="s">
        <v>49</v>
      </c>
      <c r="M173" s="29"/>
      <c r="N173" s="29"/>
      <c r="O173" s="29"/>
      <c r="P173" s="29"/>
    </row>
    <row r="174" s="29" customFormat="true" ht="22.15" hidden="false" customHeight="true" outlineLevel="0" collapsed="false">
      <c r="A174" s="36" t="s">
        <v>342</v>
      </c>
      <c r="B174" s="27" t="n">
        <v>9</v>
      </c>
      <c r="C174" s="26" t="s">
        <v>359</v>
      </c>
      <c r="D174" s="26" t="s">
        <v>360</v>
      </c>
      <c r="E174" s="27" t="s">
        <v>43</v>
      </c>
      <c r="F174" s="28" t="n">
        <v>7</v>
      </c>
      <c r="G174" s="28" t="n">
        <v>7</v>
      </c>
      <c r="H174" s="28" t="n">
        <v>0</v>
      </c>
      <c r="I174" s="28" t="n">
        <v>0</v>
      </c>
      <c r="J174" s="28" t="n">
        <v>0</v>
      </c>
      <c r="K174" s="28" t="n">
        <v>14</v>
      </c>
      <c r="L174" s="27" t="s">
        <v>49</v>
      </c>
    </row>
    <row r="175" s="29" customFormat="true" ht="22.15" hidden="false" customHeight="true" outlineLevel="0" collapsed="false">
      <c r="A175" s="36" t="s">
        <v>342</v>
      </c>
      <c r="B175" s="56" t="n">
        <v>10</v>
      </c>
      <c r="C175" s="52" t="s">
        <v>361</v>
      </c>
      <c r="D175" s="52" t="s">
        <v>362</v>
      </c>
      <c r="E175" s="56" t="s">
        <v>43</v>
      </c>
      <c r="F175" s="53" t="n">
        <v>7</v>
      </c>
      <c r="G175" s="53" t="n">
        <v>7</v>
      </c>
      <c r="H175" s="53" t="n">
        <v>0</v>
      </c>
      <c r="I175" s="53" t="n">
        <v>0</v>
      </c>
      <c r="J175" s="53" t="n">
        <v>0</v>
      </c>
      <c r="K175" s="53" t="n">
        <v>14</v>
      </c>
      <c r="L175" s="27" t="s">
        <v>49</v>
      </c>
    </row>
    <row r="176" s="29" customFormat="true" ht="22.15" hidden="false" customHeight="true" outlineLevel="0" collapsed="false">
      <c r="A176" s="37" t="s">
        <v>363</v>
      </c>
      <c r="B176" s="12" t="n">
        <v>1</v>
      </c>
      <c r="C176" s="11" t="s">
        <v>364</v>
      </c>
      <c r="D176" s="11" t="s">
        <v>365</v>
      </c>
      <c r="E176" s="12" t="s">
        <v>43</v>
      </c>
      <c r="F176" s="13" t="n">
        <v>7</v>
      </c>
      <c r="G176" s="13" t="n">
        <v>7</v>
      </c>
      <c r="H176" s="13" t="n">
        <v>7</v>
      </c>
      <c r="I176" s="13" t="n">
        <v>7</v>
      </c>
      <c r="J176" s="13" t="n">
        <v>7</v>
      </c>
      <c r="K176" s="13" t="n">
        <f aca="false">SUM(F176:J176)</f>
        <v>35</v>
      </c>
      <c r="L176" s="12" t="s">
        <v>68</v>
      </c>
      <c r="M176" s="37" t="n">
        <f aca="false">SUM(K176:K185)</f>
        <v>306</v>
      </c>
      <c r="N176" s="14" t="n">
        <v>2</v>
      </c>
      <c r="O176" s="14"/>
      <c r="P176" s="14"/>
    </row>
    <row r="177" s="14" customFormat="true" ht="22.15" hidden="false" customHeight="true" outlineLevel="0" collapsed="false">
      <c r="A177" s="38" t="s">
        <v>363</v>
      </c>
      <c r="B177" s="17" t="n">
        <v>2</v>
      </c>
      <c r="C177" s="16" t="s">
        <v>366</v>
      </c>
      <c r="D177" s="16" t="s">
        <v>367</v>
      </c>
      <c r="E177" s="17" t="s">
        <v>43</v>
      </c>
      <c r="F177" s="18" t="n">
        <v>7</v>
      </c>
      <c r="G177" s="18" t="n">
        <v>7</v>
      </c>
      <c r="H177" s="18" t="n">
        <v>7</v>
      </c>
      <c r="I177" s="18" t="n">
        <v>7</v>
      </c>
      <c r="J177" s="18" t="n">
        <v>7</v>
      </c>
      <c r="K177" s="18" t="n">
        <f aca="false">SUM(F177:J177)</f>
        <v>35</v>
      </c>
      <c r="L177" s="17" t="s">
        <v>71</v>
      </c>
      <c r="M177" s="19"/>
      <c r="N177" s="19"/>
      <c r="O177" s="19"/>
      <c r="P177" s="19"/>
    </row>
    <row r="178" s="19" customFormat="true" ht="22.15" hidden="false" customHeight="true" outlineLevel="0" collapsed="false">
      <c r="A178" s="38" t="s">
        <v>363</v>
      </c>
      <c r="B178" s="17" t="n">
        <v>3</v>
      </c>
      <c r="C178" s="16" t="s">
        <v>368</v>
      </c>
      <c r="D178" s="16" t="s">
        <v>369</v>
      </c>
      <c r="E178" s="17" t="s">
        <v>43</v>
      </c>
      <c r="F178" s="18" t="n">
        <v>7</v>
      </c>
      <c r="G178" s="18" t="n">
        <v>7</v>
      </c>
      <c r="H178" s="18" t="n">
        <v>7</v>
      </c>
      <c r="I178" s="18" t="n">
        <v>7</v>
      </c>
      <c r="J178" s="18" t="n">
        <v>7</v>
      </c>
      <c r="K178" s="18" t="n">
        <f aca="false">SUM(F178:J178)</f>
        <v>35</v>
      </c>
      <c r="L178" s="17" t="s">
        <v>71</v>
      </c>
    </row>
    <row r="179" s="19" customFormat="true" ht="22.15" hidden="false" customHeight="true" outlineLevel="0" collapsed="false">
      <c r="A179" s="24" t="s">
        <v>363</v>
      </c>
      <c r="B179" s="22" t="n">
        <v>4</v>
      </c>
      <c r="C179" s="21" t="s">
        <v>366</v>
      </c>
      <c r="D179" s="21" t="s">
        <v>370</v>
      </c>
      <c r="E179" s="22" t="s">
        <v>43</v>
      </c>
      <c r="F179" s="23" t="n">
        <v>4</v>
      </c>
      <c r="G179" s="23" t="n">
        <v>7</v>
      </c>
      <c r="H179" s="23" t="n">
        <v>7</v>
      </c>
      <c r="I179" s="23" t="n">
        <v>7</v>
      </c>
      <c r="J179" s="23" t="n">
        <v>7</v>
      </c>
      <c r="K179" s="23" t="n">
        <f aca="false">SUM(F179:J179)</f>
        <v>32</v>
      </c>
      <c r="L179" s="22" t="s">
        <v>44</v>
      </c>
      <c r="M179" s="35"/>
      <c r="N179" s="35"/>
      <c r="O179" s="35"/>
      <c r="P179" s="35"/>
    </row>
    <row r="180" s="35" customFormat="true" ht="22.15" hidden="false" customHeight="true" outlineLevel="0" collapsed="false">
      <c r="A180" s="24" t="s">
        <v>363</v>
      </c>
      <c r="B180" s="22" t="n">
        <v>5</v>
      </c>
      <c r="C180" s="21" t="s">
        <v>371</v>
      </c>
      <c r="D180" s="21" t="s">
        <v>372</v>
      </c>
      <c r="E180" s="22" t="s">
        <v>43</v>
      </c>
      <c r="F180" s="23" t="n">
        <v>7</v>
      </c>
      <c r="G180" s="23" t="n">
        <v>7</v>
      </c>
      <c r="H180" s="23" t="n">
        <v>7</v>
      </c>
      <c r="I180" s="23" t="n">
        <v>1</v>
      </c>
      <c r="J180" s="23" t="n">
        <v>7</v>
      </c>
      <c r="K180" s="23" t="n">
        <f aca="false">SUM(F180:J180)</f>
        <v>29</v>
      </c>
      <c r="L180" s="22" t="s">
        <v>44</v>
      </c>
    </row>
    <row r="181" s="35" customFormat="true" ht="22.15" hidden="false" customHeight="true" outlineLevel="0" collapsed="false">
      <c r="A181" s="24" t="s">
        <v>363</v>
      </c>
      <c r="B181" s="22" t="n">
        <v>6</v>
      </c>
      <c r="C181" s="21" t="s">
        <v>373</v>
      </c>
      <c r="D181" s="21" t="s">
        <v>374</v>
      </c>
      <c r="E181" s="22" t="s">
        <v>43</v>
      </c>
      <c r="F181" s="23" t="n">
        <v>7</v>
      </c>
      <c r="G181" s="23" t="n">
        <v>7</v>
      </c>
      <c r="H181" s="23" t="n">
        <v>7</v>
      </c>
      <c r="I181" s="23" t="n">
        <v>1</v>
      </c>
      <c r="J181" s="23" t="n">
        <v>7</v>
      </c>
      <c r="K181" s="23" t="n">
        <f aca="false">SUM(F181:J181)</f>
        <v>29</v>
      </c>
      <c r="L181" s="22" t="s">
        <v>44</v>
      </c>
    </row>
    <row r="182" s="35" customFormat="true" ht="22.15" hidden="false" customHeight="true" outlineLevel="0" collapsed="false">
      <c r="A182" s="24" t="s">
        <v>363</v>
      </c>
      <c r="B182" s="22" t="n">
        <v>7</v>
      </c>
      <c r="C182" s="21" t="s">
        <v>375</v>
      </c>
      <c r="D182" s="21" t="s">
        <v>376</v>
      </c>
      <c r="E182" s="22" t="s">
        <v>43</v>
      </c>
      <c r="F182" s="23" t="n">
        <v>7</v>
      </c>
      <c r="G182" s="23" t="n">
        <v>0</v>
      </c>
      <c r="H182" s="23" t="n">
        <v>7</v>
      </c>
      <c r="I182" s="23" t="n">
        <v>7</v>
      </c>
      <c r="J182" s="23" t="n">
        <v>7</v>
      </c>
      <c r="K182" s="23" t="n">
        <f aca="false">SUM(F182:J182)</f>
        <v>28</v>
      </c>
      <c r="L182" s="22" t="s">
        <v>44</v>
      </c>
    </row>
    <row r="183" s="35" customFormat="true" ht="22.15" hidden="false" customHeight="true" outlineLevel="0" collapsed="false">
      <c r="A183" s="36" t="s">
        <v>363</v>
      </c>
      <c r="B183" s="27" t="n">
        <v>8</v>
      </c>
      <c r="C183" s="26" t="s">
        <v>366</v>
      </c>
      <c r="D183" s="26" t="s">
        <v>377</v>
      </c>
      <c r="E183" s="27" t="s">
        <v>43</v>
      </c>
      <c r="F183" s="28" t="n">
        <v>7</v>
      </c>
      <c r="G183" s="28" t="n">
        <v>7</v>
      </c>
      <c r="H183" s="28" t="n">
        <v>7</v>
      </c>
      <c r="I183" s="28" t="n">
        <v>7</v>
      </c>
      <c r="J183" s="28" t="n">
        <v>0</v>
      </c>
      <c r="K183" s="28" t="n">
        <f aca="false">SUM(F183:J183)</f>
        <v>28</v>
      </c>
      <c r="L183" s="27" t="s">
        <v>49</v>
      </c>
      <c r="M183" s="29"/>
      <c r="N183" s="29"/>
      <c r="O183" s="29"/>
      <c r="P183" s="29"/>
    </row>
    <row r="184" s="29" customFormat="true" ht="22.15" hidden="false" customHeight="true" outlineLevel="0" collapsed="false">
      <c r="A184" s="36" t="s">
        <v>363</v>
      </c>
      <c r="B184" s="27" t="n">
        <v>9</v>
      </c>
      <c r="C184" s="26" t="s">
        <v>375</v>
      </c>
      <c r="D184" s="26" t="s">
        <v>378</v>
      </c>
      <c r="E184" s="27" t="s">
        <v>43</v>
      </c>
      <c r="F184" s="28" t="n">
        <v>7</v>
      </c>
      <c r="G184" s="28" t="n">
        <v>7</v>
      </c>
      <c r="H184" s="28" t="n">
        <v>7</v>
      </c>
      <c r="I184" s="28" t="n">
        <v>7</v>
      </c>
      <c r="J184" s="28" t="n">
        <v>0</v>
      </c>
      <c r="K184" s="28" t="n">
        <f aca="false">SUM(F184:J184)</f>
        <v>28</v>
      </c>
      <c r="L184" s="27" t="s">
        <v>49</v>
      </c>
    </row>
    <row r="185" s="29" customFormat="true" ht="22.15" hidden="false" customHeight="true" outlineLevel="0" collapsed="false">
      <c r="A185" s="36" t="s">
        <v>363</v>
      </c>
      <c r="B185" s="27" t="n">
        <v>10</v>
      </c>
      <c r="C185" s="26" t="s">
        <v>379</v>
      </c>
      <c r="D185" s="26" t="s">
        <v>380</v>
      </c>
      <c r="E185" s="27" t="s">
        <v>52</v>
      </c>
      <c r="F185" s="28" t="n">
        <v>7</v>
      </c>
      <c r="G185" s="28" t="n">
        <v>6</v>
      </c>
      <c r="H185" s="28" t="n">
        <v>7</v>
      </c>
      <c r="I185" s="28" t="n">
        <v>7</v>
      </c>
      <c r="J185" s="28" t="n">
        <v>0</v>
      </c>
      <c r="K185" s="28" t="n">
        <f aca="false">SUM(F185:J185)</f>
        <v>27</v>
      </c>
      <c r="L185" s="27" t="s">
        <v>49</v>
      </c>
    </row>
    <row r="186" s="29" customFormat="true" ht="22.15" hidden="false" customHeight="true" outlineLevel="0" collapsed="false">
      <c r="A186" s="24" t="s">
        <v>381</v>
      </c>
      <c r="B186" s="22" t="n">
        <v>1</v>
      </c>
      <c r="C186" s="21" t="s">
        <v>382</v>
      </c>
      <c r="D186" s="21" t="s">
        <v>383</v>
      </c>
      <c r="E186" s="22" t="s">
        <v>43</v>
      </c>
      <c r="F186" s="23" t="n">
        <v>7</v>
      </c>
      <c r="G186" s="23" t="n">
        <v>7</v>
      </c>
      <c r="H186" s="23" t="n">
        <v>2</v>
      </c>
      <c r="I186" s="23" t="n">
        <v>0</v>
      </c>
      <c r="J186" s="23" t="n">
        <v>0</v>
      </c>
      <c r="K186" s="23" t="n">
        <v>16</v>
      </c>
      <c r="L186" s="22" t="s">
        <v>44</v>
      </c>
      <c r="M186" s="24" t="n">
        <f aca="false">SUM(K186:K195)</f>
        <v>86</v>
      </c>
      <c r="N186" s="35" t="n">
        <v>29</v>
      </c>
      <c r="O186" s="35"/>
      <c r="P186" s="35"/>
    </row>
    <row r="187" s="35" customFormat="true" ht="22.15" hidden="false" customHeight="true" outlineLevel="0" collapsed="false">
      <c r="A187" s="24" t="s">
        <v>381</v>
      </c>
      <c r="B187" s="22" t="n">
        <v>2</v>
      </c>
      <c r="C187" s="21" t="s">
        <v>384</v>
      </c>
      <c r="D187" s="21" t="s">
        <v>385</v>
      </c>
      <c r="E187" s="22" t="s">
        <v>43</v>
      </c>
      <c r="F187" s="23" t="n">
        <v>7</v>
      </c>
      <c r="G187" s="23" t="n">
        <v>0</v>
      </c>
      <c r="H187" s="23" t="n">
        <v>7</v>
      </c>
      <c r="I187" s="23" t="n">
        <v>0</v>
      </c>
      <c r="J187" s="23" t="n">
        <v>0</v>
      </c>
      <c r="K187" s="23" t="n">
        <v>14</v>
      </c>
      <c r="L187" s="22" t="s">
        <v>44</v>
      </c>
    </row>
    <row r="188" s="35" customFormat="true" ht="22.15" hidden="false" customHeight="true" outlineLevel="0" collapsed="false">
      <c r="A188" s="36" t="s">
        <v>381</v>
      </c>
      <c r="B188" s="27" t="n">
        <v>3</v>
      </c>
      <c r="C188" s="26" t="s">
        <v>386</v>
      </c>
      <c r="D188" s="26" t="s">
        <v>387</v>
      </c>
      <c r="E188" s="27" t="s">
        <v>43</v>
      </c>
      <c r="F188" s="28" t="n">
        <v>7</v>
      </c>
      <c r="G188" s="28" t="n">
        <v>0</v>
      </c>
      <c r="H188" s="28" t="n">
        <v>0</v>
      </c>
      <c r="I188" s="28" t="n">
        <v>0</v>
      </c>
      <c r="J188" s="28" t="n">
        <v>0</v>
      </c>
      <c r="K188" s="28" t="n">
        <v>7</v>
      </c>
      <c r="L188" s="27" t="s">
        <v>49</v>
      </c>
      <c r="M188" s="29"/>
      <c r="N188" s="29"/>
      <c r="O188" s="29"/>
      <c r="P188" s="29"/>
    </row>
    <row r="189" s="29" customFormat="true" ht="22.15" hidden="false" customHeight="true" outlineLevel="0" collapsed="false">
      <c r="A189" s="36" t="s">
        <v>381</v>
      </c>
      <c r="B189" s="27" t="n">
        <v>4</v>
      </c>
      <c r="C189" s="26" t="s">
        <v>388</v>
      </c>
      <c r="D189" s="26" t="s">
        <v>389</v>
      </c>
      <c r="E189" s="27" t="s">
        <v>43</v>
      </c>
      <c r="F189" s="28" t="n">
        <v>7</v>
      </c>
      <c r="G189" s="28" t="n">
        <v>0</v>
      </c>
      <c r="H189" s="28" t="n">
        <v>0</v>
      </c>
      <c r="I189" s="28" t="n">
        <v>0</v>
      </c>
      <c r="J189" s="28" t="n">
        <v>0</v>
      </c>
      <c r="K189" s="28" t="n">
        <v>7</v>
      </c>
      <c r="L189" s="27" t="s">
        <v>49</v>
      </c>
    </row>
    <row r="190" s="29" customFormat="true" ht="22.15" hidden="false" customHeight="true" outlineLevel="0" collapsed="false">
      <c r="A190" s="36" t="s">
        <v>381</v>
      </c>
      <c r="B190" s="27" t="n">
        <v>5</v>
      </c>
      <c r="C190" s="26" t="s">
        <v>390</v>
      </c>
      <c r="D190" s="26" t="s">
        <v>391</v>
      </c>
      <c r="E190" s="27" t="s">
        <v>43</v>
      </c>
      <c r="F190" s="28" t="n">
        <v>7</v>
      </c>
      <c r="G190" s="28" t="n">
        <v>0</v>
      </c>
      <c r="H190" s="28" t="n">
        <v>0</v>
      </c>
      <c r="I190" s="28" t="n">
        <v>0</v>
      </c>
      <c r="J190" s="28" t="n">
        <v>0</v>
      </c>
      <c r="K190" s="28" t="n">
        <v>7</v>
      </c>
      <c r="L190" s="27" t="s">
        <v>49</v>
      </c>
    </row>
    <row r="191" s="29" customFormat="true" ht="22.15" hidden="false" customHeight="true" outlineLevel="0" collapsed="false">
      <c r="A191" s="36" t="s">
        <v>381</v>
      </c>
      <c r="B191" s="27" t="n">
        <v>6</v>
      </c>
      <c r="C191" s="26" t="s">
        <v>392</v>
      </c>
      <c r="D191" s="26" t="s">
        <v>344</v>
      </c>
      <c r="E191" s="27" t="s">
        <v>43</v>
      </c>
      <c r="F191" s="28" t="n">
        <v>7</v>
      </c>
      <c r="G191" s="28" t="n">
        <v>0</v>
      </c>
      <c r="H191" s="28" t="n">
        <v>0</v>
      </c>
      <c r="I191" s="28" t="n">
        <v>0</v>
      </c>
      <c r="J191" s="28" t="n">
        <v>0</v>
      </c>
      <c r="K191" s="28" t="n">
        <v>7</v>
      </c>
      <c r="L191" s="27" t="s">
        <v>49</v>
      </c>
    </row>
    <row r="192" s="29" customFormat="true" ht="22.15" hidden="false" customHeight="true" outlineLevel="0" collapsed="false">
      <c r="A192" s="36" t="s">
        <v>381</v>
      </c>
      <c r="B192" s="27" t="n">
        <v>7</v>
      </c>
      <c r="C192" s="26" t="s">
        <v>393</v>
      </c>
      <c r="D192" s="26" t="s">
        <v>394</v>
      </c>
      <c r="E192" s="27" t="s">
        <v>43</v>
      </c>
      <c r="F192" s="28" t="n">
        <v>7</v>
      </c>
      <c r="G192" s="28" t="n">
        <v>0</v>
      </c>
      <c r="H192" s="28" t="n">
        <v>0</v>
      </c>
      <c r="I192" s="28" t="n">
        <v>0</v>
      </c>
      <c r="J192" s="28" t="n">
        <v>0</v>
      </c>
      <c r="K192" s="28" t="n">
        <v>7</v>
      </c>
      <c r="L192" s="27" t="s">
        <v>49</v>
      </c>
    </row>
    <row r="193" s="29" customFormat="true" ht="22.15" hidden="false" customHeight="true" outlineLevel="0" collapsed="false">
      <c r="A193" s="36" t="s">
        <v>381</v>
      </c>
      <c r="B193" s="27" t="n">
        <v>8</v>
      </c>
      <c r="C193" s="26" t="s">
        <v>395</v>
      </c>
      <c r="D193" s="26" t="s">
        <v>396</v>
      </c>
      <c r="E193" s="27" t="s">
        <v>52</v>
      </c>
      <c r="F193" s="28" t="n">
        <v>7</v>
      </c>
      <c r="G193" s="28" t="n">
        <v>0</v>
      </c>
      <c r="H193" s="28" t="n">
        <v>0</v>
      </c>
      <c r="I193" s="28" t="n">
        <v>0</v>
      </c>
      <c r="J193" s="28" t="n">
        <v>0</v>
      </c>
      <c r="K193" s="28" t="n">
        <v>7</v>
      </c>
      <c r="L193" s="27" t="s">
        <v>49</v>
      </c>
    </row>
    <row r="194" s="29" customFormat="true" ht="22.15" hidden="false" customHeight="true" outlineLevel="0" collapsed="false">
      <c r="A194" s="36" t="s">
        <v>381</v>
      </c>
      <c r="B194" s="27" t="n">
        <v>9</v>
      </c>
      <c r="C194" s="26" t="s">
        <v>397</v>
      </c>
      <c r="D194" s="26" t="s">
        <v>398</v>
      </c>
      <c r="E194" s="27" t="s">
        <v>43</v>
      </c>
      <c r="F194" s="28" t="n">
        <v>7</v>
      </c>
      <c r="G194" s="28" t="n">
        <v>0</v>
      </c>
      <c r="H194" s="28" t="n">
        <v>0</v>
      </c>
      <c r="I194" s="28" t="n">
        <v>0</v>
      </c>
      <c r="J194" s="28" t="n">
        <v>0</v>
      </c>
      <c r="K194" s="28" t="n">
        <v>7</v>
      </c>
      <c r="L194" s="27" t="s">
        <v>49</v>
      </c>
    </row>
    <row r="195" s="29" customFormat="true" ht="22.15" hidden="false" customHeight="true" outlineLevel="0" collapsed="false">
      <c r="A195" s="36" t="s">
        <v>381</v>
      </c>
      <c r="B195" s="56" t="n">
        <v>10</v>
      </c>
      <c r="C195" s="52" t="s">
        <v>399</v>
      </c>
      <c r="D195" s="52" t="s">
        <v>400</v>
      </c>
      <c r="E195" s="56" t="s">
        <v>43</v>
      </c>
      <c r="F195" s="53" t="n">
        <v>7</v>
      </c>
      <c r="G195" s="53" t="n">
        <v>0</v>
      </c>
      <c r="H195" s="53" t="n">
        <v>0</v>
      </c>
      <c r="I195" s="53" t="n">
        <v>0</v>
      </c>
      <c r="J195" s="53" t="n">
        <v>0</v>
      </c>
      <c r="K195" s="53" t="n">
        <v>7</v>
      </c>
      <c r="L195" s="27" t="s">
        <v>49</v>
      </c>
    </row>
    <row r="196" s="29" customFormat="true" ht="22.15" hidden="false" customHeight="true" outlineLevel="0" collapsed="false">
      <c r="A196" s="24" t="s">
        <v>401</v>
      </c>
      <c r="B196" s="22" t="n">
        <v>1</v>
      </c>
      <c r="C196" s="57" t="s">
        <v>402</v>
      </c>
      <c r="D196" s="21" t="s">
        <v>403</v>
      </c>
      <c r="E196" s="22" t="s">
        <v>43</v>
      </c>
      <c r="F196" s="23" t="n">
        <v>7</v>
      </c>
      <c r="G196" s="23" t="n">
        <v>0</v>
      </c>
      <c r="H196" s="23" t="n">
        <v>7</v>
      </c>
      <c r="I196" s="23" t="n">
        <v>0</v>
      </c>
      <c r="J196" s="23" t="n">
        <v>0</v>
      </c>
      <c r="K196" s="23" t="n">
        <f aca="false">SUM(F196:J196)</f>
        <v>14</v>
      </c>
      <c r="L196" s="22" t="s">
        <v>44</v>
      </c>
      <c r="M196" s="24" t="n">
        <f aca="false">SUM(K196:K205)</f>
        <v>87</v>
      </c>
      <c r="N196" s="35" t="n">
        <v>28</v>
      </c>
      <c r="O196" s="35"/>
      <c r="P196" s="35"/>
    </row>
    <row r="197" s="35" customFormat="true" ht="22.15" hidden="false" customHeight="true" outlineLevel="0" collapsed="false">
      <c r="A197" s="24" t="s">
        <v>401</v>
      </c>
      <c r="B197" s="22" t="n">
        <v>2</v>
      </c>
      <c r="C197" s="57" t="s">
        <v>404</v>
      </c>
      <c r="D197" s="21" t="s">
        <v>405</v>
      </c>
      <c r="E197" s="22" t="s">
        <v>43</v>
      </c>
      <c r="F197" s="23" t="n">
        <v>6</v>
      </c>
      <c r="G197" s="23" t="n">
        <v>0</v>
      </c>
      <c r="H197" s="23" t="n">
        <v>6</v>
      </c>
      <c r="I197" s="23" t="n">
        <v>0</v>
      </c>
      <c r="J197" s="23" t="n">
        <v>0</v>
      </c>
      <c r="K197" s="23" t="n">
        <f aca="false">SUM(F197:J197)</f>
        <v>12</v>
      </c>
      <c r="L197" s="22" t="s">
        <v>44</v>
      </c>
    </row>
    <row r="198" s="35" customFormat="true" ht="22.15" hidden="false" customHeight="true" outlineLevel="0" collapsed="false">
      <c r="A198" s="36" t="s">
        <v>401</v>
      </c>
      <c r="B198" s="27" t="n">
        <v>3</v>
      </c>
      <c r="C198" s="58" t="s">
        <v>402</v>
      </c>
      <c r="D198" s="26" t="s">
        <v>406</v>
      </c>
      <c r="E198" s="27" t="s">
        <v>43</v>
      </c>
      <c r="F198" s="28" t="n">
        <v>7</v>
      </c>
      <c r="G198" s="28" t="n">
        <v>0</v>
      </c>
      <c r="H198" s="28" t="n">
        <v>2</v>
      </c>
      <c r="I198" s="28" t="n">
        <v>0</v>
      </c>
      <c r="J198" s="28" t="n">
        <v>0</v>
      </c>
      <c r="K198" s="28" t="n">
        <f aca="false">SUM(F198:J198)</f>
        <v>9</v>
      </c>
      <c r="L198" s="27" t="s">
        <v>49</v>
      </c>
      <c r="M198" s="29"/>
      <c r="N198" s="29"/>
      <c r="O198" s="29"/>
      <c r="P198" s="29"/>
    </row>
    <row r="199" s="29" customFormat="true" ht="22.15" hidden="false" customHeight="true" outlineLevel="0" collapsed="false">
      <c r="A199" s="36" t="s">
        <v>401</v>
      </c>
      <c r="B199" s="27" t="n">
        <v>4</v>
      </c>
      <c r="C199" s="58" t="s">
        <v>407</v>
      </c>
      <c r="D199" s="26" t="s">
        <v>408</v>
      </c>
      <c r="E199" s="27" t="s">
        <v>43</v>
      </c>
      <c r="F199" s="28" t="n">
        <v>7</v>
      </c>
      <c r="G199" s="28" t="n">
        <v>0</v>
      </c>
      <c r="H199" s="28" t="n">
        <v>2</v>
      </c>
      <c r="I199" s="28" t="n">
        <v>0</v>
      </c>
      <c r="J199" s="28" t="n">
        <v>0</v>
      </c>
      <c r="K199" s="28" t="n">
        <f aca="false">SUM(F199:J199)</f>
        <v>9</v>
      </c>
      <c r="L199" s="27" t="s">
        <v>49</v>
      </c>
    </row>
    <row r="200" s="29" customFormat="true" ht="22.15" hidden="false" customHeight="true" outlineLevel="0" collapsed="false">
      <c r="A200" s="36" t="s">
        <v>401</v>
      </c>
      <c r="B200" s="27" t="n">
        <v>5</v>
      </c>
      <c r="C200" s="58" t="s">
        <v>409</v>
      </c>
      <c r="D200" s="26" t="s">
        <v>410</v>
      </c>
      <c r="E200" s="27" t="s">
        <v>43</v>
      </c>
      <c r="F200" s="28" t="n">
        <v>7</v>
      </c>
      <c r="G200" s="28" t="n">
        <v>0</v>
      </c>
      <c r="H200" s="28" t="n">
        <v>1</v>
      </c>
      <c r="I200" s="28" t="n">
        <v>0</v>
      </c>
      <c r="J200" s="28" t="n">
        <v>0</v>
      </c>
      <c r="K200" s="28" t="n">
        <f aca="false">SUM(F200:J200)</f>
        <v>8</v>
      </c>
      <c r="L200" s="27" t="s">
        <v>49</v>
      </c>
    </row>
    <row r="201" s="29" customFormat="true" ht="22.15" hidden="false" customHeight="true" outlineLevel="0" collapsed="false">
      <c r="A201" s="36" t="s">
        <v>401</v>
      </c>
      <c r="B201" s="27" t="n">
        <v>6</v>
      </c>
      <c r="C201" s="58" t="s">
        <v>411</v>
      </c>
      <c r="D201" s="26" t="s">
        <v>412</v>
      </c>
      <c r="E201" s="27" t="s">
        <v>43</v>
      </c>
      <c r="F201" s="28" t="n">
        <v>7</v>
      </c>
      <c r="G201" s="28" t="n">
        <v>0</v>
      </c>
      <c r="H201" s="28" t="n">
        <v>0</v>
      </c>
      <c r="I201" s="28" t="n">
        <v>0</v>
      </c>
      <c r="J201" s="28" t="n">
        <v>0</v>
      </c>
      <c r="K201" s="28" t="n">
        <f aca="false">SUM(F201:J201)</f>
        <v>7</v>
      </c>
      <c r="L201" s="27" t="s">
        <v>49</v>
      </c>
    </row>
    <row r="202" s="29" customFormat="true" ht="22.15" hidden="false" customHeight="true" outlineLevel="0" collapsed="false">
      <c r="A202" s="36" t="s">
        <v>401</v>
      </c>
      <c r="B202" s="27" t="n">
        <v>7</v>
      </c>
      <c r="C202" s="58" t="s">
        <v>413</v>
      </c>
      <c r="D202" s="26" t="s">
        <v>414</v>
      </c>
      <c r="E202" s="27" t="s">
        <v>43</v>
      </c>
      <c r="F202" s="28" t="n">
        <v>7</v>
      </c>
      <c r="G202" s="28" t="n">
        <v>0</v>
      </c>
      <c r="H202" s="28" t="n">
        <v>0</v>
      </c>
      <c r="I202" s="28" t="n">
        <v>0</v>
      </c>
      <c r="J202" s="28" t="n">
        <v>0</v>
      </c>
      <c r="K202" s="28" t="n">
        <f aca="false">SUM(F202:J202)</f>
        <v>7</v>
      </c>
      <c r="L202" s="27" t="s">
        <v>49</v>
      </c>
    </row>
    <row r="203" s="29" customFormat="true" ht="22.15" hidden="false" customHeight="true" outlineLevel="0" collapsed="false">
      <c r="A203" s="36" t="s">
        <v>401</v>
      </c>
      <c r="B203" s="27" t="n">
        <v>8</v>
      </c>
      <c r="C203" s="58" t="s">
        <v>415</v>
      </c>
      <c r="D203" s="26" t="s">
        <v>416</v>
      </c>
      <c r="E203" s="27" t="s">
        <v>43</v>
      </c>
      <c r="F203" s="28" t="n">
        <v>7</v>
      </c>
      <c r="G203" s="28" t="n">
        <v>0</v>
      </c>
      <c r="H203" s="28" t="n">
        <v>0</v>
      </c>
      <c r="I203" s="28" t="n">
        <v>0</v>
      </c>
      <c r="J203" s="28" t="n">
        <v>0</v>
      </c>
      <c r="K203" s="28" t="n">
        <f aca="false">SUM(F203:J203)</f>
        <v>7</v>
      </c>
      <c r="L203" s="27" t="s">
        <v>49</v>
      </c>
    </row>
    <row r="204" s="29" customFormat="true" ht="22.15" hidden="false" customHeight="true" outlineLevel="0" collapsed="false">
      <c r="A204" s="36" t="s">
        <v>401</v>
      </c>
      <c r="B204" s="27" t="n">
        <v>9</v>
      </c>
      <c r="C204" s="58" t="s">
        <v>417</v>
      </c>
      <c r="D204" s="26" t="s">
        <v>418</v>
      </c>
      <c r="E204" s="27" t="s">
        <v>43</v>
      </c>
      <c r="F204" s="28" t="n">
        <v>7</v>
      </c>
      <c r="G204" s="28" t="n">
        <v>0</v>
      </c>
      <c r="H204" s="28" t="n">
        <v>0</v>
      </c>
      <c r="I204" s="28" t="n">
        <v>0</v>
      </c>
      <c r="J204" s="28" t="n">
        <v>0</v>
      </c>
      <c r="K204" s="28" t="n">
        <f aca="false">SUM(F204:J204)</f>
        <v>7</v>
      </c>
      <c r="L204" s="27" t="s">
        <v>49</v>
      </c>
    </row>
    <row r="205" s="29" customFormat="true" ht="22.15" hidden="false" customHeight="true" outlineLevel="0" collapsed="false">
      <c r="A205" s="36" t="s">
        <v>401</v>
      </c>
      <c r="B205" s="27" t="n">
        <v>10</v>
      </c>
      <c r="C205" s="58" t="s">
        <v>419</v>
      </c>
      <c r="D205" s="26" t="s">
        <v>420</v>
      </c>
      <c r="E205" s="27" t="s">
        <v>43</v>
      </c>
      <c r="F205" s="28" t="n">
        <v>7</v>
      </c>
      <c r="G205" s="28" t="n">
        <v>0</v>
      </c>
      <c r="H205" s="28" t="n">
        <v>0</v>
      </c>
      <c r="I205" s="28" t="n">
        <v>0</v>
      </c>
      <c r="J205" s="28" t="n">
        <v>0</v>
      </c>
      <c r="K205" s="28" t="n">
        <f aca="false">SUM(F205:J205)</f>
        <v>7</v>
      </c>
      <c r="L205" s="27" t="s">
        <v>49</v>
      </c>
    </row>
    <row r="206" s="29" customFormat="true" ht="22.15" hidden="false" customHeight="true" outlineLevel="0" collapsed="false">
      <c r="A206" s="37" t="s">
        <v>421</v>
      </c>
      <c r="B206" s="12" t="n">
        <v>1</v>
      </c>
      <c r="C206" s="11" t="s">
        <v>422</v>
      </c>
      <c r="D206" s="11" t="s">
        <v>423</v>
      </c>
      <c r="E206" s="12" t="s">
        <v>43</v>
      </c>
      <c r="F206" s="13" t="n">
        <v>7</v>
      </c>
      <c r="G206" s="13" t="n">
        <v>7</v>
      </c>
      <c r="H206" s="13" t="n">
        <v>7</v>
      </c>
      <c r="I206" s="13" t="n">
        <v>0</v>
      </c>
      <c r="J206" s="13" t="n">
        <v>7</v>
      </c>
      <c r="K206" s="13" t="n">
        <f aca="false">SUM(F206:J206)</f>
        <v>28</v>
      </c>
      <c r="L206" s="12" t="s">
        <v>68</v>
      </c>
      <c r="M206" s="37" t="n">
        <f aca="false">SUM(K206:K215)</f>
        <v>220</v>
      </c>
      <c r="N206" s="14" t="n">
        <v>5</v>
      </c>
      <c r="O206" s="14"/>
      <c r="P206" s="14"/>
    </row>
    <row r="207" s="14" customFormat="true" ht="22.15" hidden="false" customHeight="true" outlineLevel="0" collapsed="false">
      <c r="A207" s="38" t="s">
        <v>421</v>
      </c>
      <c r="B207" s="17" t="n">
        <v>2</v>
      </c>
      <c r="C207" s="16" t="s">
        <v>424</v>
      </c>
      <c r="D207" s="16" t="s">
        <v>425</v>
      </c>
      <c r="E207" s="17" t="s">
        <v>43</v>
      </c>
      <c r="F207" s="18" t="n">
        <v>7</v>
      </c>
      <c r="G207" s="18" t="n">
        <v>7</v>
      </c>
      <c r="H207" s="18" t="n">
        <v>7</v>
      </c>
      <c r="I207" s="18" t="n">
        <v>0</v>
      </c>
      <c r="J207" s="18" t="n">
        <v>7</v>
      </c>
      <c r="K207" s="18" t="n">
        <f aca="false">SUM(F207:J207)</f>
        <v>28</v>
      </c>
      <c r="L207" s="17" t="s">
        <v>71</v>
      </c>
      <c r="M207" s="19"/>
      <c r="N207" s="19"/>
      <c r="O207" s="19"/>
      <c r="P207" s="19"/>
    </row>
    <row r="208" s="19" customFormat="true" ht="22.15" hidden="false" customHeight="true" outlineLevel="0" collapsed="false">
      <c r="A208" s="38" t="s">
        <v>421</v>
      </c>
      <c r="B208" s="17" t="n">
        <v>3</v>
      </c>
      <c r="C208" s="16" t="s">
        <v>426</v>
      </c>
      <c r="D208" s="16" t="s">
        <v>427</v>
      </c>
      <c r="E208" s="17" t="s">
        <v>43</v>
      </c>
      <c r="F208" s="18" t="n">
        <v>6</v>
      </c>
      <c r="G208" s="18" t="n">
        <v>7</v>
      </c>
      <c r="H208" s="18" t="n">
        <v>7</v>
      </c>
      <c r="I208" s="18" t="n">
        <v>4</v>
      </c>
      <c r="J208" s="18" t="n">
        <v>0</v>
      </c>
      <c r="K208" s="18" t="n">
        <f aca="false">SUM(F208:J208)</f>
        <v>24</v>
      </c>
      <c r="L208" s="17" t="s">
        <v>71</v>
      </c>
    </row>
    <row r="209" s="19" customFormat="true" ht="22.15" hidden="false" customHeight="true" outlineLevel="0" collapsed="false">
      <c r="A209" s="24" t="s">
        <v>421</v>
      </c>
      <c r="B209" s="22" t="n">
        <v>4</v>
      </c>
      <c r="C209" s="21" t="s">
        <v>428</v>
      </c>
      <c r="D209" s="21" t="s">
        <v>429</v>
      </c>
      <c r="E209" s="22" t="s">
        <v>43</v>
      </c>
      <c r="F209" s="23" t="n">
        <v>7</v>
      </c>
      <c r="G209" s="23" t="n">
        <v>7</v>
      </c>
      <c r="H209" s="23" t="n">
        <v>7</v>
      </c>
      <c r="I209" s="23" t="n">
        <v>0</v>
      </c>
      <c r="J209" s="23" t="n">
        <v>0</v>
      </c>
      <c r="K209" s="23" t="n">
        <f aca="false">SUM(F209:J209)</f>
        <v>21</v>
      </c>
      <c r="L209" s="22" t="s">
        <v>44</v>
      </c>
      <c r="M209" s="35"/>
      <c r="N209" s="35"/>
      <c r="O209" s="35"/>
      <c r="P209" s="35"/>
    </row>
    <row r="210" s="35" customFormat="true" ht="22.15" hidden="false" customHeight="true" outlineLevel="0" collapsed="false">
      <c r="A210" s="24" t="s">
        <v>421</v>
      </c>
      <c r="B210" s="22" t="n">
        <v>5</v>
      </c>
      <c r="C210" s="21" t="s">
        <v>430</v>
      </c>
      <c r="D210" s="21" t="s">
        <v>431</v>
      </c>
      <c r="E210" s="22" t="s">
        <v>43</v>
      </c>
      <c r="F210" s="23" t="n">
        <v>7</v>
      </c>
      <c r="G210" s="23" t="n">
        <v>7</v>
      </c>
      <c r="H210" s="23" t="n">
        <v>7</v>
      </c>
      <c r="I210" s="23" t="n">
        <v>0</v>
      </c>
      <c r="J210" s="23" t="n">
        <v>0</v>
      </c>
      <c r="K210" s="23" t="n">
        <f aca="false">SUM(F210:J210)</f>
        <v>21</v>
      </c>
      <c r="L210" s="22" t="s">
        <v>44</v>
      </c>
    </row>
    <row r="211" s="35" customFormat="true" ht="22.15" hidden="false" customHeight="true" outlineLevel="0" collapsed="false">
      <c r="A211" s="24" t="s">
        <v>421</v>
      </c>
      <c r="B211" s="22" t="n">
        <v>6</v>
      </c>
      <c r="C211" s="21" t="s">
        <v>432</v>
      </c>
      <c r="D211" s="21" t="s">
        <v>251</v>
      </c>
      <c r="E211" s="22" t="s">
        <v>43</v>
      </c>
      <c r="F211" s="23" t="n">
        <v>7</v>
      </c>
      <c r="G211" s="23" t="n">
        <v>7</v>
      </c>
      <c r="H211" s="23" t="n">
        <v>7</v>
      </c>
      <c r="I211" s="23" t="n">
        <v>0</v>
      </c>
      <c r="J211" s="23" t="n">
        <v>0</v>
      </c>
      <c r="K211" s="23" t="n">
        <f aca="false">SUM(F211:J211)</f>
        <v>21</v>
      </c>
      <c r="L211" s="22" t="s">
        <v>44</v>
      </c>
    </row>
    <row r="212" s="35" customFormat="true" ht="22.15" hidden="false" customHeight="true" outlineLevel="0" collapsed="false">
      <c r="A212" s="24" t="s">
        <v>421</v>
      </c>
      <c r="B212" s="22" t="n">
        <v>7</v>
      </c>
      <c r="C212" s="21" t="s">
        <v>433</v>
      </c>
      <c r="D212" s="21" t="s">
        <v>434</v>
      </c>
      <c r="E212" s="22" t="s">
        <v>43</v>
      </c>
      <c r="F212" s="23" t="n">
        <v>7</v>
      </c>
      <c r="G212" s="23" t="n">
        <v>7</v>
      </c>
      <c r="H212" s="23" t="n">
        <v>7</v>
      </c>
      <c r="I212" s="23" t="n">
        <v>0</v>
      </c>
      <c r="J212" s="23" t="n">
        <v>0</v>
      </c>
      <c r="K212" s="23" t="n">
        <f aca="false">SUM(F212:J212)</f>
        <v>21</v>
      </c>
      <c r="L212" s="22" t="s">
        <v>44</v>
      </c>
    </row>
    <row r="213" s="35" customFormat="true" ht="22.15" hidden="false" customHeight="true" outlineLevel="0" collapsed="false">
      <c r="A213" s="36" t="s">
        <v>421</v>
      </c>
      <c r="B213" s="27" t="n">
        <v>8</v>
      </c>
      <c r="C213" s="26" t="s">
        <v>435</v>
      </c>
      <c r="D213" s="26" t="s">
        <v>436</v>
      </c>
      <c r="E213" s="27" t="s">
        <v>43</v>
      </c>
      <c r="F213" s="28" t="n">
        <v>7</v>
      </c>
      <c r="G213" s="28" t="n">
        <v>7</v>
      </c>
      <c r="H213" s="28" t="n">
        <v>7</v>
      </c>
      <c r="I213" s="28" t="n">
        <v>0</v>
      </c>
      <c r="J213" s="28" t="n">
        <v>0</v>
      </c>
      <c r="K213" s="28" t="n">
        <f aca="false">SUM(F213:J213)</f>
        <v>21</v>
      </c>
      <c r="L213" s="27" t="s">
        <v>49</v>
      </c>
      <c r="M213" s="29"/>
      <c r="N213" s="29"/>
      <c r="O213" s="29"/>
      <c r="P213" s="29"/>
    </row>
    <row r="214" s="29" customFormat="true" ht="22.15" hidden="false" customHeight="true" outlineLevel="0" collapsed="false">
      <c r="A214" s="36" t="s">
        <v>421</v>
      </c>
      <c r="B214" s="27" t="n">
        <v>9</v>
      </c>
      <c r="C214" s="26" t="s">
        <v>437</v>
      </c>
      <c r="D214" s="26" t="s">
        <v>438</v>
      </c>
      <c r="E214" s="27" t="s">
        <v>43</v>
      </c>
      <c r="F214" s="28" t="n">
        <v>7</v>
      </c>
      <c r="G214" s="28" t="n">
        <v>7</v>
      </c>
      <c r="H214" s="28" t="n">
        <v>0</v>
      </c>
      <c r="I214" s="28" t="n">
        <v>4</v>
      </c>
      <c r="J214" s="28" t="n">
        <v>0</v>
      </c>
      <c r="K214" s="28" t="n">
        <f aca="false">SUM(F214:J214)</f>
        <v>18</v>
      </c>
      <c r="L214" s="27" t="s">
        <v>49</v>
      </c>
    </row>
    <row r="215" s="29" customFormat="true" ht="22.15" hidden="false" customHeight="true" outlineLevel="0" collapsed="false">
      <c r="A215" s="36" t="s">
        <v>421</v>
      </c>
      <c r="B215" s="27" t="n">
        <v>10</v>
      </c>
      <c r="C215" s="26" t="s">
        <v>439</v>
      </c>
      <c r="D215" s="26" t="s">
        <v>440</v>
      </c>
      <c r="E215" s="27" t="s">
        <v>43</v>
      </c>
      <c r="F215" s="28" t="n">
        <v>7</v>
      </c>
      <c r="G215" s="28" t="n">
        <v>7</v>
      </c>
      <c r="H215" s="28" t="n">
        <v>0</v>
      </c>
      <c r="I215" s="28" t="n">
        <v>3</v>
      </c>
      <c r="J215" s="28" t="n">
        <v>0</v>
      </c>
      <c r="K215" s="28" t="n">
        <f aca="false">SUM(F215:J215)</f>
        <v>17</v>
      </c>
      <c r="L215" s="27" t="s">
        <v>49</v>
      </c>
    </row>
    <row r="216" s="29" customFormat="true" ht="22.15" hidden="false" customHeight="true" outlineLevel="0" collapsed="false">
      <c r="A216" s="37" t="s">
        <v>441</v>
      </c>
      <c r="B216" s="12" t="n">
        <v>1</v>
      </c>
      <c r="C216" s="11" t="s">
        <v>442</v>
      </c>
      <c r="D216" s="11" t="s">
        <v>443</v>
      </c>
      <c r="E216" s="12" t="s">
        <v>52</v>
      </c>
      <c r="F216" s="13" t="n">
        <v>7</v>
      </c>
      <c r="G216" s="13" t="n">
        <v>7</v>
      </c>
      <c r="H216" s="13" t="n">
        <v>4</v>
      </c>
      <c r="I216" s="13" t="n">
        <v>0</v>
      </c>
      <c r="J216" s="13" t="n">
        <v>5</v>
      </c>
      <c r="K216" s="13" t="n">
        <f aca="false">SUM(F216:J216)</f>
        <v>23</v>
      </c>
      <c r="L216" s="12" t="s">
        <v>68</v>
      </c>
      <c r="M216" s="37" t="n">
        <f aca="false">SUM(K216:K225)</f>
        <v>154</v>
      </c>
      <c r="N216" s="14" t="n">
        <v>16</v>
      </c>
      <c r="O216" s="14"/>
      <c r="P216" s="14"/>
    </row>
    <row r="217" s="14" customFormat="true" ht="22.15" hidden="false" customHeight="true" outlineLevel="0" collapsed="false">
      <c r="A217" s="38" t="s">
        <v>441</v>
      </c>
      <c r="B217" s="17" t="n">
        <v>2</v>
      </c>
      <c r="C217" s="16" t="s">
        <v>444</v>
      </c>
      <c r="D217" s="16" t="s">
        <v>445</v>
      </c>
      <c r="E217" s="17" t="s">
        <v>43</v>
      </c>
      <c r="F217" s="18" t="n">
        <v>7</v>
      </c>
      <c r="G217" s="18" t="n">
        <v>7</v>
      </c>
      <c r="H217" s="18" t="n">
        <v>2</v>
      </c>
      <c r="I217" s="18" t="n">
        <v>0</v>
      </c>
      <c r="J217" s="18" t="n">
        <v>4</v>
      </c>
      <c r="K217" s="18" t="n">
        <f aca="false">SUM(F217:J217)</f>
        <v>20</v>
      </c>
      <c r="L217" s="17" t="s">
        <v>71</v>
      </c>
      <c r="M217" s="19"/>
      <c r="N217" s="19"/>
      <c r="O217" s="19"/>
      <c r="P217" s="19"/>
    </row>
    <row r="218" s="19" customFormat="true" ht="22.15" hidden="false" customHeight="true" outlineLevel="0" collapsed="false">
      <c r="A218" s="38" t="s">
        <v>441</v>
      </c>
      <c r="B218" s="17" t="n">
        <v>3</v>
      </c>
      <c r="C218" s="16" t="s">
        <v>446</v>
      </c>
      <c r="D218" s="16" t="s">
        <v>447</v>
      </c>
      <c r="E218" s="17" t="s">
        <v>43</v>
      </c>
      <c r="F218" s="18" t="n">
        <v>7</v>
      </c>
      <c r="G218" s="18" t="n">
        <v>0</v>
      </c>
      <c r="H218" s="18" t="n">
        <v>4</v>
      </c>
      <c r="I218" s="18" t="n">
        <v>7</v>
      </c>
      <c r="J218" s="18" t="n">
        <v>0</v>
      </c>
      <c r="K218" s="18" t="n">
        <f aca="false">SUM(F218:J218)</f>
        <v>18</v>
      </c>
      <c r="L218" s="17" t="s">
        <v>71</v>
      </c>
    </row>
    <row r="219" s="19" customFormat="true" ht="22.15" hidden="false" customHeight="true" outlineLevel="0" collapsed="false">
      <c r="A219" s="24" t="s">
        <v>441</v>
      </c>
      <c r="B219" s="22" t="n">
        <v>4</v>
      </c>
      <c r="C219" s="21" t="s">
        <v>448</v>
      </c>
      <c r="D219" s="21" t="s">
        <v>449</v>
      </c>
      <c r="E219" s="22" t="s">
        <v>43</v>
      </c>
      <c r="F219" s="23" t="n">
        <v>7</v>
      </c>
      <c r="G219" s="23" t="n">
        <v>7</v>
      </c>
      <c r="H219" s="23" t="n">
        <v>2</v>
      </c>
      <c r="I219" s="23" t="n">
        <v>0</v>
      </c>
      <c r="J219" s="23" t="n">
        <v>0</v>
      </c>
      <c r="K219" s="23" t="n">
        <f aca="false">SUM(F219:J219)</f>
        <v>16</v>
      </c>
      <c r="L219" s="22" t="s">
        <v>44</v>
      </c>
      <c r="M219" s="35"/>
      <c r="N219" s="35"/>
      <c r="O219" s="35"/>
      <c r="P219" s="35"/>
    </row>
    <row r="220" s="35" customFormat="true" ht="22.15" hidden="false" customHeight="true" outlineLevel="0" collapsed="false">
      <c r="A220" s="24" t="s">
        <v>441</v>
      </c>
      <c r="B220" s="22" t="n">
        <v>5</v>
      </c>
      <c r="C220" s="21" t="s">
        <v>450</v>
      </c>
      <c r="D220" s="21" t="s">
        <v>451</v>
      </c>
      <c r="E220" s="22" t="s">
        <v>43</v>
      </c>
      <c r="F220" s="23" t="n">
        <v>7</v>
      </c>
      <c r="G220" s="23" t="n">
        <v>7</v>
      </c>
      <c r="H220" s="23" t="n">
        <v>2</v>
      </c>
      <c r="I220" s="23" t="n">
        <v>0</v>
      </c>
      <c r="J220" s="23" t="n">
        <v>0</v>
      </c>
      <c r="K220" s="23" t="n">
        <f aca="false">SUM(F220:J220)</f>
        <v>16</v>
      </c>
      <c r="L220" s="22" t="s">
        <v>44</v>
      </c>
    </row>
    <row r="221" s="35" customFormat="true" ht="22.15" hidden="false" customHeight="true" outlineLevel="0" collapsed="false">
      <c r="A221" s="24" t="s">
        <v>441</v>
      </c>
      <c r="B221" s="22" t="n">
        <v>6</v>
      </c>
      <c r="C221" s="21" t="s">
        <v>452</v>
      </c>
      <c r="D221" s="21" t="s">
        <v>453</v>
      </c>
      <c r="E221" s="22" t="s">
        <v>43</v>
      </c>
      <c r="F221" s="23" t="n">
        <v>7</v>
      </c>
      <c r="G221" s="23" t="n">
        <v>0</v>
      </c>
      <c r="H221" s="23" t="n">
        <v>7</v>
      </c>
      <c r="I221" s="23" t="n">
        <v>1</v>
      </c>
      <c r="J221" s="23" t="n">
        <v>0</v>
      </c>
      <c r="K221" s="23" t="n">
        <f aca="false">SUM(F221:J221)</f>
        <v>15</v>
      </c>
      <c r="L221" s="22" t="s">
        <v>44</v>
      </c>
    </row>
    <row r="222" s="35" customFormat="true" ht="22.15" hidden="false" customHeight="true" outlineLevel="0" collapsed="false">
      <c r="A222" s="24" t="s">
        <v>441</v>
      </c>
      <c r="B222" s="22" t="n">
        <v>7</v>
      </c>
      <c r="C222" s="21" t="s">
        <v>454</v>
      </c>
      <c r="D222" s="21" t="s">
        <v>455</v>
      </c>
      <c r="E222" s="22" t="s">
        <v>43</v>
      </c>
      <c r="F222" s="23" t="n">
        <v>7</v>
      </c>
      <c r="G222" s="23" t="n">
        <v>0</v>
      </c>
      <c r="H222" s="23" t="n">
        <v>0</v>
      </c>
      <c r="I222" s="23" t="n">
        <v>7</v>
      </c>
      <c r="J222" s="23" t="n">
        <v>0</v>
      </c>
      <c r="K222" s="23" t="n">
        <f aca="false">SUM(F222:J222)</f>
        <v>14</v>
      </c>
      <c r="L222" s="22" t="s">
        <v>44</v>
      </c>
    </row>
    <row r="223" s="35" customFormat="true" ht="22.15" hidden="false" customHeight="true" outlineLevel="0" collapsed="false">
      <c r="A223" s="30" t="s">
        <v>441</v>
      </c>
      <c r="B223" s="4" t="n">
        <v>8</v>
      </c>
      <c r="C223" s="3" t="s">
        <v>456</v>
      </c>
      <c r="D223" s="3" t="s">
        <v>457</v>
      </c>
      <c r="E223" s="4" t="s">
        <v>43</v>
      </c>
      <c r="F223" s="5" t="n">
        <v>5</v>
      </c>
      <c r="G223" s="5" t="n">
        <v>0</v>
      </c>
      <c r="H223" s="5" t="n">
        <v>0</v>
      </c>
      <c r="I223" s="5" t="n">
        <v>6</v>
      </c>
      <c r="J223" s="5" t="n">
        <v>0</v>
      </c>
      <c r="K223" s="5" t="n">
        <f aca="false">SUM(F223:J223)</f>
        <v>11</v>
      </c>
      <c r="L223" s="4"/>
      <c r="M223" s="1"/>
      <c r="N223" s="1"/>
      <c r="O223" s="1"/>
      <c r="P223" s="1"/>
    </row>
    <row r="224" customFormat="false" ht="22.15" hidden="false" customHeight="true" outlineLevel="0" collapsed="false">
      <c r="A224" s="36" t="s">
        <v>441</v>
      </c>
      <c r="B224" s="27" t="n">
        <v>9</v>
      </c>
      <c r="C224" s="26" t="s">
        <v>458</v>
      </c>
      <c r="D224" s="26" t="s">
        <v>459</v>
      </c>
      <c r="E224" s="27" t="s">
        <v>43</v>
      </c>
      <c r="F224" s="28" t="n">
        <v>4</v>
      </c>
      <c r="G224" s="28" t="n">
        <v>0</v>
      </c>
      <c r="H224" s="28" t="n">
        <v>7</v>
      </c>
      <c r="I224" s="28" t="n">
        <v>0</v>
      </c>
      <c r="J224" s="28" t="n">
        <v>0</v>
      </c>
      <c r="K224" s="28" t="n">
        <f aca="false">SUM(F224:J224)</f>
        <v>11</v>
      </c>
      <c r="L224" s="27" t="s">
        <v>49</v>
      </c>
      <c r="M224" s="29"/>
      <c r="N224" s="29"/>
      <c r="O224" s="29"/>
      <c r="P224" s="29"/>
    </row>
    <row r="225" s="29" customFormat="true" ht="22.15" hidden="false" customHeight="true" outlineLevel="0" collapsed="false">
      <c r="A225" s="36" t="s">
        <v>441</v>
      </c>
      <c r="B225" s="27" t="n">
        <v>10</v>
      </c>
      <c r="C225" s="26" t="s">
        <v>460</v>
      </c>
      <c r="D225" s="26" t="s">
        <v>461</v>
      </c>
      <c r="E225" s="27" t="s">
        <v>43</v>
      </c>
      <c r="F225" s="28" t="n">
        <v>7</v>
      </c>
      <c r="G225" s="28" t="n">
        <v>0</v>
      </c>
      <c r="H225" s="28" t="n">
        <v>2</v>
      </c>
      <c r="I225" s="28" t="n">
        <v>0</v>
      </c>
      <c r="J225" s="28" t="n">
        <v>1</v>
      </c>
      <c r="K225" s="28" t="n">
        <f aca="false">SUM(F225:J225)</f>
        <v>10</v>
      </c>
      <c r="L225" s="27" t="s">
        <v>49</v>
      </c>
    </row>
    <row r="226" s="29" customFormat="true" ht="22.15" hidden="false" customHeight="true" outlineLevel="0" collapsed="false">
      <c r="A226" s="37" t="s">
        <v>462</v>
      </c>
      <c r="B226" s="12" t="n">
        <v>1</v>
      </c>
      <c r="C226" s="11" t="s">
        <v>463</v>
      </c>
      <c r="D226" s="11" t="s">
        <v>464</v>
      </c>
      <c r="E226" s="12" t="s">
        <v>43</v>
      </c>
      <c r="F226" s="13" t="n">
        <v>7</v>
      </c>
      <c r="G226" s="13" t="n">
        <v>7</v>
      </c>
      <c r="H226" s="13" t="n">
        <v>7</v>
      </c>
      <c r="I226" s="13" t="n">
        <v>3</v>
      </c>
      <c r="J226" s="13" t="n">
        <v>0</v>
      </c>
      <c r="K226" s="13" t="n">
        <f aca="false">SUM(F226:J226)</f>
        <v>24</v>
      </c>
      <c r="L226" s="12" t="s">
        <v>68</v>
      </c>
      <c r="M226" s="37" t="n">
        <f aca="false">SUM(K226:K235)</f>
        <v>137</v>
      </c>
      <c r="N226" s="14" t="n">
        <v>18</v>
      </c>
      <c r="O226" s="14"/>
      <c r="P226" s="14"/>
    </row>
    <row r="227" s="14" customFormat="true" ht="22.15" hidden="false" customHeight="true" outlineLevel="0" collapsed="false">
      <c r="A227" s="38" t="s">
        <v>462</v>
      </c>
      <c r="B227" s="17" t="n">
        <v>2</v>
      </c>
      <c r="C227" s="16" t="s">
        <v>465</v>
      </c>
      <c r="D227" s="16" t="s">
        <v>466</v>
      </c>
      <c r="E227" s="17" t="s">
        <v>43</v>
      </c>
      <c r="F227" s="18" t="n">
        <v>7</v>
      </c>
      <c r="G227" s="18" t="n">
        <v>7</v>
      </c>
      <c r="H227" s="18" t="n">
        <v>7</v>
      </c>
      <c r="I227" s="18" t="n">
        <v>0</v>
      </c>
      <c r="J227" s="18" t="n">
        <v>0</v>
      </c>
      <c r="K227" s="18" t="n">
        <f aca="false">SUM(F227:J227)</f>
        <v>21</v>
      </c>
      <c r="L227" s="17" t="s">
        <v>71</v>
      </c>
      <c r="M227" s="19"/>
      <c r="N227" s="19"/>
      <c r="O227" s="19"/>
      <c r="P227" s="19"/>
    </row>
    <row r="228" s="19" customFormat="true" ht="22.15" hidden="false" customHeight="true" outlineLevel="0" collapsed="false">
      <c r="A228" s="38" t="s">
        <v>462</v>
      </c>
      <c r="B228" s="17" t="n">
        <v>3</v>
      </c>
      <c r="C228" s="16" t="s">
        <v>467</v>
      </c>
      <c r="D228" s="16" t="s">
        <v>468</v>
      </c>
      <c r="E228" s="17" t="s">
        <v>43</v>
      </c>
      <c r="F228" s="18" t="n">
        <v>6</v>
      </c>
      <c r="G228" s="18" t="n">
        <v>7</v>
      </c>
      <c r="H228" s="18" t="n">
        <v>0</v>
      </c>
      <c r="I228" s="18" t="n">
        <v>5</v>
      </c>
      <c r="J228" s="18" t="n">
        <v>0</v>
      </c>
      <c r="K228" s="18" t="n">
        <f aca="false">SUM(F228:J228)</f>
        <v>18</v>
      </c>
      <c r="L228" s="17" t="s">
        <v>71</v>
      </c>
    </row>
    <row r="229" s="19" customFormat="true" ht="22.15" hidden="false" customHeight="true" outlineLevel="0" collapsed="false">
      <c r="A229" s="24" t="s">
        <v>462</v>
      </c>
      <c r="B229" s="22" t="n">
        <v>4</v>
      </c>
      <c r="C229" s="21" t="s">
        <v>469</v>
      </c>
      <c r="D229" s="21" t="s">
        <v>470</v>
      </c>
      <c r="E229" s="22" t="s">
        <v>43</v>
      </c>
      <c r="F229" s="23" t="n">
        <v>7</v>
      </c>
      <c r="G229" s="23" t="n">
        <v>0</v>
      </c>
      <c r="H229" s="23" t="n">
        <v>7</v>
      </c>
      <c r="I229" s="23" t="n">
        <v>0</v>
      </c>
      <c r="J229" s="23" t="n">
        <v>0</v>
      </c>
      <c r="K229" s="23" t="n">
        <f aca="false">SUM(F229:J229)</f>
        <v>14</v>
      </c>
      <c r="L229" s="22" t="s">
        <v>44</v>
      </c>
      <c r="M229" s="35"/>
      <c r="N229" s="35"/>
      <c r="O229" s="35"/>
      <c r="P229" s="35"/>
    </row>
    <row r="230" s="35" customFormat="true" ht="22.15" hidden="false" customHeight="true" outlineLevel="0" collapsed="false">
      <c r="A230" s="24" t="s">
        <v>462</v>
      </c>
      <c r="B230" s="22" t="n">
        <v>5</v>
      </c>
      <c r="C230" s="21" t="s">
        <v>471</v>
      </c>
      <c r="D230" s="21" t="s">
        <v>472</v>
      </c>
      <c r="E230" s="22" t="s">
        <v>52</v>
      </c>
      <c r="F230" s="23" t="n">
        <v>5</v>
      </c>
      <c r="G230" s="23" t="n">
        <v>7</v>
      </c>
      <c r="H230" s="23" t="n">
        <v>0</v>
      </c>
      <c r="I230" s="23" t="n">
        <v>0</v>
      </c>
      <c r="J230" s="23" t="n">
        <v>0</v>
      </c>
      <c r="K230" s="23" t="n">
        <f aca="false">SUM(F230:J230)</f>
        <v>12</v>
      </c>
      <c r="L230" s="22" t="s">
        <v>44</v>
      </c>
    </row>
    <row r="231" s="35" customFormat="true" ht="22.15" hidden="false" customHeight="true" outlineLevel="0" collapsed="false">
      <c r="A231" s="24" t="s">
        <v>462</v>
      </c>
      <c r="B231" s="22" t="n">
        <v>6</v>
      </c>
      <c r="C231" s="21" t="s">
        <v>473</v>
      </c>
      <c r="D231" s="21" t="s">
        <v>474</v>
      </c>
      <c r="E231" s="22" t="s">
        <v>43</v>
      </c>
      <c r="F231" s="23" t="n">
        <v>7</v>
      </c>
      <c r="G231" s="23" t="n">
        <v>0</v>
      </c>
      <c r="H231" s="23" t="n">
        <v>4</v>
      </c>
      <c r="I231" s="23" t="n">
        <v>0</v>
      </c>
      <c r="J231" s="23" t="n">
        <v>0</v>
      </c>
      <c r="K231" s="23" t="n">
        <f aca="false">SUM(F231:J231)</f>
        <v>11</v>
      </c>
      <c r="L231" s="22" t="s">
        <v>44</v>
      </c>
    </row>
    <row r="232" s="35" customFormat="true" ht="22.15" hidden="false" customHeight="true" outlineLevel="0" collapsed="false">
      <c r="A232" s="36" t="s">
        <v>462</v>
      </c>
      <c r="B232" s="27" t="n">
        <v>7</v>
      </c>
      <c r="C232" s="26" t="s">
        <v>475</v>
      </c>
      <c r="D232" s="26" t="s">
        <v>476</v>
      </c>
      <c r="E232" s="27" t="s">
        <v>52</v>
      </c>
      <c r="F232" s="28" t="n">
        <v>7</v>
      </c>
      <c r="G232" s="28" t="n">
        <v>1</v>
      </c>
      <c r="H232" s="28" t="n">
        <v>2</v>
      </c>
      <c r="I232" s="28" t="n">
        <v>0</v>
      </c>
      <c r="J232" s="28" t="n">
        <v>0</v>
      </c>
      <c r="K232" s="28" t="n">
        <f aca="false">SUM(F232:J232)</f>
        <v>10</v>
      </c>
      <c r="L232" s="27" t="s">
        <v>49</v>
      </c>
      <c r="M232" s="29"/>
      <c r="N232" s="29"/>
      <c r="O232" s="29"/>
      <c r="P232" s="29"/>
    </row>
    <row r="233" s="29" customFormat="true" ht="22.15" hidden="false" customHeight="true" outlineLevel="0" collapsed="false">
      <c r="A233" s="36" t="s">
        <v>462</v>
      </c>
      <c r="B233" s="27" t="n">
        <v>8</v>
      </c>
      <c r="C233" s="26" t="s">
        <v>477</v>
      </c>
      <c r="D233" s="26" t="s">
        <v>478</v>
      </c>
      <c r="E233" s="27" t="s">
        <v>52</v>
      </c>
      <c r="F233" s="28" t="n">
        <v>7</v>
      </c>
      <c r="G233" s="28" t="n">
        <v>0</v>
      </c>
      <c r="H233" s="28" t="n">
        <v>2</v>
      </c>
      <c r="I233" s="28" t="n">
        <v>0</v>
      </c>
      <c r="J233" s="28" t="n">
        <v>0</v>
      </c>
      <c r="K233" s="28" t="n">
        <f aca="false">SUM(F233:J233)</f>
        <v>9</v>
      </c>
      <c r="L233" s="27" t="s">
        <v>49</v>
      </c>
    </row>
    <row r="234" s="29" customFormat="true" ht="22.15" hidden="false" customHeight="true" outlineLevel="0" collapsed="false">
      <c r="A234" s="36" t="s">
        <v>462</v>
      </c>
      <c r="B234" s="27" t="n">
        <v>9</v>
      </c>
      <c r="C234" s="26" t="s">
        <v>479</v>
      </c>
      <c r="D234" s="26" t="s">
        <v>480</v>
      </c>
      <c r="E234" s="27" t="s">
        <v>43</v>
      </c>
      <c r="F234" s="28" t="n">
        <v>7</v>
      </c>
      <c r="G234" s="28" t="n">
        <v>0</v>
      </c>
      <c r="H234" s="28" t="n">
        <v>2</v>
      </c>
      <c r="I234" s="28" t="n">
        <v>0</v>
      </c>
      <c r="J234" s="28" t="n">
        <v>0</v>
      </c>
      <c r="K234" s="28" t="n">
        <f aca="false">SUM(F234:J234)</f>
        <v>9</v>
      </c>
      <c r="L234" s="27" t="s">
        <v>49</v>
      </c>
    </row>
    <row r="235" s="29" customFormat="true" ht="22.15" hidden="false" customHeight="true" outlineLevel="0" collapsed="false">
      <c r="A235" s="36" t="s">
        <v>462</v>
      </c>
      <c r="B235" s="27" t="n">
        <v>10</v>
      </c>
      <c r="C235" s="26" t="s">
        <v>481</v>
      </c>
      <c r="D235" s="26" t="s">
        <v>482</v>
      </c>
      <c r="E235" s="27" t="s">
        <v>43</v>
      </c>
      <c r="F235" s="28" t="n">
        <v>7</v>
      </c>
      <c r="G235" s="28" t="n">
        <v>0</v>
      </c>
      <c r="H235" s="28" t="n">
        <v>2</v>
      </c>
      <c r="I235" s="28" t="n">
        <v>0</v>
      </c>
      <c r="J235" s="28" t="n">
        <v>0</v>
      </c>
      <c r="K235" s="28" t="n">
        <f aca="false">SUM(F235:J235)</f>
        <v>9</v>
      </c>
      <c r="L235" s="27" t="s">
        <v>49</v>
      </c>
    </row>
    <row r="236" s="29" customFormat="true" ht="22.15" hidden="false" customHeight="true" outlineLevel="0" collapsed="false">
      <c r="A236" s="36" t="s">
        <v>483</v>
      </c>
      <c r="B236" s="49" t="n">
        <v>1</v>
      </c>
      <c r="C236" s="59" t="s">
        <v>484</v>
      </c>
      <c r="D236" s="59" t="s">
        <v>485</v>
      </c>
      <c r="E236" s="27" t="s">
        <v>43</v>
      </c>
      <c r="F236" s="50" t="n">
        <v>3</v>
      </c>
      <c r="G236" s="50" t="n">
        <v>0</v>
      </c>
      <c r="H236" s="50" t="n">
        <v>7</v>
      </c>
      <c r="I236" s="50" t="n">
        <v>0</v>
      </c>
      <c r="J236" s="60" t="n">
        <v>0</v>
      </c>
      <c r="K236" s="28" t="n">
        <f aca="false">SUM(F236:J236)</f>
        <v>10</v>
      </c>
      <c r="L236" s="27" t="s">
        <v>49</v>
      </c>
      <c r="M236" s="36" t="n">
        <f aca="false">SUM(K236:K245)</f>
        <v>76</v>
      </c>
      <c r="N236" s="29" t="n">
        <v>32</v>
      </c>
    </row>
    <row r="237" s="29" customFormat="true" ht="22.15" hidden="false" customHeight="true" outlineLevel="0" collapsed="false">
      <c r="A237" s="30" t="s">
        <v>483</v>
      </c>
      <c r="B237" s="32" t="n">
        <v>2</v>
      </c>
      <c r="C237" s="33" t="s">
        <v>486</v>
      </c>
      <c r="D237" s="33" t="s">
        <v>487</v>
      </c>
      <c r="E237" s="4" t="s">
        <v>43</v>
      </c>
      <c r="F237" s="34" t="n">
        <v>4</v>
      </c>
      <c r="G237" s="34" t="n">
        <v>0</v>
      </c>
      <c r="H237" s="34" t="n">
        <v>5</v>
      </c>
      <c r="I237" s="34" t="n">
        <v>0</v>
      </c>
      <c r="J237" s="61" t="n">
        <v>0</v>
      </c>
      <c r="K237" s="5" t="n">
        <f aca="false">SUM(F237:J237)</f>
        <v>9</v>
      </c>
      <c r="L237" s="4"/>
      <c r="M237" s="1"/>
      <c r="N237" s="1"/>
      <c r="O237" s="1"/>
      <c r="P237" s="1"/>
    </row>
    <row r="238" customFormat="false" ht="22.15" hidden="false" customHeight="true" outlineLevel="0" collapsed="false">
      <c r="A238" s="36" t="s">
        <v>483</v>
      </c>
      <c r="B238" s="49" t="n">
        <v>3</v>
      </c>
      <c r="C238" s="59" t="s">
        <v>488</v>
      </c>
      <c r="D238" s="59" t="s">
        <v>489</v>
      </c>
      <c r="E238" s="27" t="s">
        <v>43</v>
      </c>
      <c r="F238" s="50" t="n">
        <v>7</v>
      </c>
      <c r="G238" s="50" t="n">
        <v>0</v>
      </c>
      <c r="H238" s="50" t="n">
        <v>1</v>
      </c>
      <c r="I238" s="50" t="n">
        <v>0</v>
      </c>
      <c r="J238" s="50" t="n">
        <v>0</v>
      </c>
      <c r="K238" s="28" t="n">
        <f aca="false">SUM(F238:J238)</f>
        <v>8</v>
      </c>
      <c r="L238" s="27" t="s">
        <v>49</v>
      </c>
      <c r="M238" s="29"/>
      <c r="N238" s="29"/>
      <c r="O238" s="29"/>
      <c r="P238" s="29"/>
    </row>
    <row r="239" s="29" customFormat="true" ht="22.15" hidden="false" customHeight="true" outlineLevel="0" collapsed="false">
      <c r="A239" s="36" t="s">
        <v>483</v>
      </c>
      <c r="B239" s="49" t="n">
        <v>4</v>
      </c>
      <c r="C239" s="59" t="s">
        <v>490</v>
      </c>
      <c r="D239" s="59" t="s">
        <v>491</v>
      </c>
      <c r="E239" s="27" t="s">
        <v>43</v>
      </c>
      <c r="F239" s="50" t="n">
        <v>7</v>
      </c>
      <c r="G239" s="50" t="n">
        <v>0</v>
      </c>
      <c r="H239" s="50" t="n">
        <v>0</v>
      </c>
      <c r="I239" s="50" t="n">
        <v>1</v>
      </c>
      <c r="J239" s="50" t="n">
        <v>0</v>
      </c>
      <c r="K239" s="28" t="n">
        <f aca="false">SUM(F239:J239)</f>
        <v>8</v>
      </c>
      <c r="L239" s="27" t="s">
        <v>49</v>
      </c>
    </row>
    <row r="240" s="29" customFormat="true" ht="22.15" hidden="false" customHeight="true" outlineLevel="0" collapsed="false">
      <c r="A240" s="30" t="s">
        <v>483</v>
      </c>
      <c r="B240" s="32" t="n">
        <v>5</v>
      </c>
      <c r="C240" s="33" t="s">
        <v>492</v>
      </c>
      <c r="D240" s="33" t="s">
        <v>485</v>
      </c>
      <c r="E240" s="4" t="s">
        <v>43</v>
      </c>
      <c r="F240" s="34" t="n">
        <v>6</v>
      </c>
      <c r="G240" s="34" t="n">
        <v>0</v>
      </c>
      <c r="H240" s="34" t="n">
        <v>2</v>
      </c>
      <c r="I240" s="34" t="n">
        <v>0</v>
      </c>
      <c r="J240" s="34" t="n">
        <v>0</v>
      </c>
      <c r="K240" s="5" t="n">
        <f aca="false">SUM(F240:J240)</f>
        <v>8</v>
      </c>
      <c r="L240" s="4"/>
      <c r="M240" s="1"/>
      <c r="N240" s="1"/>
      <c r="O240" s="1"/>
      <c r="P240" s="1"/>
    </row>
    <row r="241" customFormat="false" ht="22.15" hidden="false" customHeight="true" outlineLevel="0" collapsed="false">
      <c r="A241" s="36" t="s">
        <v>483</v>
      </c>
      <c r="B241" s="49" t="n">
        <v>6</v>
      </c>
      <c r="C241" s="59" t="s">
        <v>493</v>
      </c>
      <c r="D241" s="59" t="s">
        <v>494</v>
      </c>
      <c r="E241" s="27" t="s">
        <v>43</v>
      </c>
      <c r="F241" s="50" t="n">
        <v>7</v>
      </c>
      <c r="G241" s="50" t="n">
        <v>0</v>
      </c>
      <c r="H241" s="50" t="n">
        <v>0</v>
      </c>
      <c r="I241" s="50" t="n">
        <v>0</v>
      </c>
      <c r="J241" s="50" t="n">
        <v>0</v>
      </c>
      <c r="K241" s="28" t="n">
        <f aca="false">SUM(F241:J241)</f>
        <v>7</v>
      </c>
      <c r="L241" s="27" t="s">
        <v>49</v>
      </c>
      <c r="M241" s="29"/>
      <c r="N241" s="29"/>
      <c r="O241" s="29"/>
      <c r="P241" s="29"/>
    </row>
    <row r="242" s="29" customFormat="true" ht="22.15" hidden="false" customHeight="true" outlineLevel="0" collapsed="false">
      <c r="A242" s="36" t="s">
        <v>483</v>
      </c>
      <c r="B242" s="49" t="n">
        <v>7</v>
      </c>
      <c r="C242" s="59" t="s">
        <v>495</v>
      </c>
      <c r="D242" s="59" t="s">
        <v>496</v>
      </c>
      <c r="E242" s="27" t="s">
        <v>43</v>
      </c>
      <c r="F242" s="50" t="n">
        <v>7</v>
      </c>
      <c r="G242" s="50" t="n">
        <v>0</v>
      </c>
      <c r="H242" s="50" t="n">
        <v>0</v>
      </c>
      <c r="I242" s="50" t="n">
        <v>0</v>
      </c>
      <c r="J242" s="50" t="n">
        <v>0</v>
      </c>
      <c r="K242" s="28" t="n">
        <f aca="false">SUM(F242:J242)</f>
        <v>7</v>
      </c>
      <c r="L242" s="27" t="s">
        <v>49</v>
      </c>
    </row>
    <row r="243" s="29" customFormat="true" ht="22.15" hidden="false" customHeight="true" outlineLevel="0" collapsed="false">
      <c r="A243" s="36" t="s">
        <v>483</v>
      </c>
      <c r="B243" s="49" t="n">
        <v>8</v>
      </c>
      <c r="C243" s="59" t="s">
        <v>497</v>
      </c>
      <c r="D243" s="59" t="s">
        <v>498</v>
      </c>
      <c r="E243" s="27" t="s">
        <v>43</v>
      </c>
      <c r="F243" s="50" t="n">
        <v>0</v>
      </c>
      <c r="G243" s="50" t="n">
        <v>7</v>
      </c>
      <c r="H243" s="50" t="n">
        <v>0</v>
      </c>
      <c r="I243" s="50" t="n">
        <v>0</v>
      </c>
      <c r="J243" s="50" t="n">
        <v>0</v>
      </c>
      <c r="K243" s="28" t="n">
        <f aca="false">SUM(F243:J243)</f>
        <v>7</v>
      </c>
      <c r="L243" s="27" t="s">
        <v>49</v>
      </c>
    </row>
    <row r="244" customFormat="false" ht="22.15" hidden="false" customHeight="true" outlineLevel="0" collapsed="false">
      <c r="A244" s="36" t="s">
        <v>483</v>
      </c>
      <c r="B244" s="49" t="n">
        <v>9</v>
      </c>
      <c r="C244" s="59" t="s">
        <v>499</v>
      </c>
      <c r="D244" s="59" t="s">
        <v>500</v>
      </c>
      <c r="E244" s="27" t="s">
        <v>43</v>
      </c>
      <c r="F244" s="50" t="n">
        <v>7</v>
      </c>
      <c r="G244" s="50" t="n">
        <v>0</v>
      </c>
      <c r="H244" s="50" t="n">
        <v>0</v>
      </c>
      <c r="I244" s="50" t="n">
        <v>0</v>
      </c>
      <c r="J244" s="50" t="n">
        <v>0</v>
      </c>
      <c r="K244" s="28" t="n">
        <f aca="false">SUM(F244:J244)</f>
        <v>7</v>
      </c>
      <c r="L244" s="27" t="s">
        <v>49</v>
      </c>
      <c r="M244" s="29"/>
      <c r="N244" s="29"/>
      <c r="O244" s="29"/>
      <c r="P244" s="29"/>
    </row>
    <row r="245" s="29" customFormat="true" ht="22.15" hidden="false" customHeight="true" outlineLevel="0" collapsed="false">
      <c r="A245" s="30" t="s">
        <v>483</v>
      </c>
      <c r="B245" s="32" t="n">
        <v>10</v>
      </c>
      <c r="C245" s="33" t="s">
        <v>501</v>
      </c>
      <c r="D245" s="33" t="s">
        <v>502</v>
      </c>
      <c r="E245" s="4" t="s">
        <v>43</v>
      </c>
      <c r="F245" s="34" t="n">
        <v>5</v>
      </c>
      <c r="G245" s="34" t="n">
        <v>0</v>
      </c>
      <c r="H245" s="34" t="n">
        <v>0</v>
      </c>
      <c r="I245" s="34" t="n">
        <v>0</v>
      </c>
      <c r="J245" s="34" t="n">
        <v>0</v>
      </c>
      <c r="K245" s="5" t="n">
        <f aca="false">SUM(F245:J245)</f>
        <v>5</v>
      </c>
      <c r="L245" s="4"/>
      <c r="M245" s="1"/>
      <c r="N245" s="1"/>
      <c r="O245" s="1"/>
      <c r="P245" s="1"/>
    </row>
    <row r="246" s="19" customFormat="true" ht="22.15" hidden="false" customHeight="true" outlineLevel="0" collapsed="false">
      <c r="A246" s="38" t="s">
        <v>503</v>
      </c>
      <c r="B246" s="62" t="n">
        <v>1</v>
      </c>
      <c r="C246" s="63" t="s">
        <v>86</v>
      </c>
      <c r="D246" s="64" t="s">
        <v>504</v>
      </c>
      <c r="E246" s="62" t="s">
        <v>43</v>
      </c>
      <c r="F246" s="65" t="n">
        <v>7</v>
      </c>
      <c r="G246" s="65" t="n">
        <v>7</v>
      </c>
      <c r="H246" s="65" t="n">
        <v>7</v>
      </c>
      <c r="I246" s="65" t="n">
        <v>0</v>
      </c>
      <c r="J246" s="65" t="n">
        <v>0</v>
      </c>
      <c r="K246" s="65" t="n">
        <f aca="false">SUM(F246:J246)</f>
        <v>21</v>
      </c>
      <c r="L246" s="17" t="s">
        <v>71</v>
      </c>
      <c r="M246" s="38" t="n">
        <f aca="false">SUM(K246:K255)</f>
        <v>104</v>
      </c>
      <c r="N246" s="19" t="n">
        <v>23</v>
      </c>
    </row>
    <row r="247" s="35" customFormat="true" ht="22.15" hidden="false" customHeight="true" outlineLevel="0" collapsed="false">
      <c r="A247" s="24" t="s">
        <v>503</v>
      </c>
      <c r="B247" s="66" t="n">
        <v>2</v>
      </c>
      <c r="C247" s="67" t="s">
        <v>295</v>
      </c>
      <c r="D247" s="68" t="s">
        <v>505</v>
      </c>
      <c r="E247" s="66" t="s">
        <v>43</v>
      </c>
      <c r="F247" s="69" t="n">
        <v>7</v>
      </c>
      <c r="G247" s="69" t="n">
        <v>7</v>
      </c>
      <c r="H247" s="69" t="n">
        <v>0</v>
      </c>
      <c r="I247" s="69" t="n">
        <v>0</v>
      </c>
      <c r="J247" s="69" t="n">
        <v>0</v>
      </c>
      <c r="K247" s="69" t="n">
        <f aca="false">SUM(F247:J247)</f>
        <v>14</v>
      </c>
      <c r="L247" s="22" t="s">
        <v>44</v>
      </c>
    </row>
    <row r="248" s="35" customFormat="true" ht="22.15" hidden="false" customHeight="true" outlineLevel="0" collapsed="false">
      <c r="A248" s="24" t="s">
        <v>503</v>
      </c>
      <c r="B248" s="66" t="n">
        <v>3</v>
      </c>
      <c r="C248" s="67" t="s">
        <v>375</v>
      </c>
      <c r="D248" s="68" t="s">
        <v>506</v>
      </c>
      <c r="E248" s="66" t="s">
        <v>43</v>
      </c>
      <c r="F248" s="69" t="n">
        <v>7</v>
      </c>
      <c r="G248" s="69" t="n">
        <v>0</v>
      </c>
      <c r="H248" s="69" t="n">
        <v>4</v>
      </c>
      <c r="I248" s="69" t="n">
        <v>0</v>
      </c>
      <c r="J248" s="69" t="n">
        <v>0</v>
      </c>
      <c r="K248" s="69" t="n">
        <f aca="false">SUM(F248:J248)</f>
        <v>11</v>
      </c>
      <c r="L248" s="22" t="s">
        <v>44</v>
      </c>
    </row>
    <row r="249" s="35" customFormat="true" ht="22.15" hidden="false" customHeight="true" outlineLevel="0" collapsed="false">
      <c r="A249" s="24" t="s">
        <v>503</v>
      </c>
      <c r="B249" s="66" t="n">
        <v>4</v>
      </c>
      <c r="C249" s="67" t="s">
        <v>507</v>
      </c>
      <c r="D249" s="68" t="s">
        <v>150</v>
      </c>
      <c r="E249" s="66" t="s">
        <v>43</v>
      </c>
      <c r="F249" s="69" t="n">
        <v>7</v>
      </c>
      <c r="G249" s="69" t="n">
        <v>3</v>
      </c>
      <c r="H249" s="69" t="n">
        <v>1</v>
      </c>
      <c r="I249" s="69" t="n">
        <v>0</v>
      </c>
      <c r="J249" s="69" t="n">
        <v>0</v>
      </c>
      <c r="K249" s="69" t="n">
        <f aca="false">SUM(F249:J249)</f>
        <v>11</v>
      </c>
      <c r="L249" s="22" t="s">
        <v>44</v>
      </c>
    </row>
    <row r="250" s="29" customFormat="true" ht="22.15" hidden="false" customHeight="true" outlineLevel="0" collapsed="false">
      <c r="A250" s="36" t="s">
        <v>503</v>
      </c>
      <c r="B250" s="70" t="n">
        <v>5</v>
      </c>
      <c r="C250" s="71" t="s">
        <v>80</v>
      </c>
      <c r="D250" s="72" t="s">
        <v>355</v>
      </c>
      <c r="E250" s="70" t="s">
        <v>43</v>
      </c>
      <c r="F250" s="73" t="n">
        <v>7</v>
      </c>
      <c r="G250" s="73" t="n">
        <v>0</v>
      </c>
      <c r="H250" s="73" t="n">
        <v>3</v>
      </c>
      <c r="I250" s="73" t="n">
        <v>0</v>
      </c>
      <c r="J250" s="73" t="n">
        <v>0</v>
      </c>
      <c r="K250" s="73" t="n">
        <f aca="false">SUM(F250:J250)</f>
        <v>10</v>
      </c>
      <c r="L250" s="27"/>
    </row>
    <row r="251" s="29" customFormat="true" ht="22.15" hidden="false" customHeight="true" outlineLevel="0" collapsed="false">
      <c r="A251" s="36" t="s">
        <v>503</v>
      </c>
      <c r="B251" s="70" t="n">
        <v>6</v>
      </c>
      <c r="C251" s="71" t="s">
        <v>256</v>
      </c>
      <c r="D251" s="72" t="s">
        <v>508</v>
      </c>
      <c r="E251" s="70" t="s">
        <v>52</v>
      </c>
      <c r="F251" s="73" t="n">
        <v>7</v>
      </c>
      <c r="G251" s="73" t="n">
        <v>1</v>
      </c>
      <c r="H251" s="73" t="n">
        <v>0</v>
      </c>
      <c r="I251" s="73" t="n">
        <v>0</v>
      </c>
      <c r="J251" s="73" t="n">
        <v>0</v>
      </c>
      <c r="K251" s="73" t="n">
        <f aca="false">SUM(F251:J251)</f>
        <v>8</v>
      </c>
      <c r="L251" s="27"/>
    </row>
    <row r="252" s="29" customFormat="true" ht="22.15" hidden="false" customHeight="true" outlineLevel="0" collapsed="false">
      <c r="A252" s="36" t="s">
        <v>503</v>
      </c>
      <c r="B252" s="70" t="n">
        <v>7</v>
      </c>
      <c r="C252" s="71" t="s">
        <v>509</v>
      </c>
      <c r="D252" s="72" t="s">
        <v>510</v>
      </c>
      <c r="E252" s="70" t="s">
        <v>52</v>
      </c>
      <c r="F252" s="73" t="n">
        <v>7</v>
      </c>
      <c r="G252" s="73" t="n">
        <v>0</v>
      </c>
      <c r="H252" s="73" t="n">
        <v>1</v>
      </c>
      <c r="I252" s="73" t="n">
        <v>0</v>
      </c>
      <c r="J252" s="73" t="n">
        <v>0</v>
      </c>
      <c r="K252" s="73" t="n">
        <f aca="false">SUM(F252:J252)</f>
        <v>8</v>
      </c>
      <c r="L252" s="27"/>
    </row>
    <row r="253" s="29" customFormat="true" ht="22.15" hidden="false" customHeight="true" outlineLevel="0" collapsed="false">
      <c r="A253" s="36" t="s">
        <v>503</v>
      </c>
      <c r="B253" s="70" t="n">
        <v>8</v>
      </c>
      <c r="C253" s="71" t="s">
        <v>85</v>
      </c>
      <c r="D253" s="72" t="s">
        <v>511</v>
      </c>
      <c r="E253" s="70" t="s">
        <v>43</v>
      </c>
      <c r="F253" s="73" t="n">
        <v>7</v>
      </c>
      <c r="G253" s="73" t="n">
        <v>0</v>
      </c>
      <c r="H253" s="73" t="n">
        <v>0</v>
      </c>
      <c r="I253" s="73" t="n">
        <v>0</v>
      </c>
      <c r="J253" s="73" t="n">
        <v>0</v>
      </c>
      <c r="K253" s="73" t="n">
        <f aca="false">SUM(F253:J253)</f>
        <v>7</v>
      </c>
      <c r="L253" s="27"/>
    </row>
    <row r="254" s="29" customFormat="true" ht="22.15" hidden="false" customHeight="true" outlineLevel="0" collapsed="false">
      <c r="A254" s="36" t="s">
        <v>503</v>
      </c>
      <c r="B254" s="70" t="n">
        <v>9</v>
      </c>
      <c r="C254" s="71" t="s">
        <v>512</v>
      </c>
      <c r="D254" s="72" t="s">
        <v>513</v>
      </c>
      <c r="E254" s="70" t="s">
        <v>43</v>
      </c>
      <c r="F254" s="73" t="n">
        <v>7</v>
      </c>
      <c r="G254" s="73" t="n">
        <v>0</v>
      </c>
      <c r="H254" s="73" t="n">
        <v>0</v>
      </c>
      <c r="I254" s="73" t="n">
        <v>0</v>
      </c>
      <c r="J254" s="73" t="n">
        <v>0</v>
      </c>
      <c r="K254" s="73" t="n">
        <f aca="false">SUM(F254:J254)</f>
        <v>7</v>
      </c>
      <c r="L254" s="27"/>
    </row>
    <row r="255" s="29" customFormat="true" ht="22.15" hidden="false" customHeight="true" outlineLevel="0" collapsed="false">
      <c r="A255" s="36" t="s">
        <v>503</v>
      </c>
      <c r="B255" s="74" t="n">
        <v>10</v>
      </c>
      <c r="C255" s="75" t="s">
        <v>514</v>
      </c>
      <c r="D255" s="76" t="s">
        <v>515</v>
      </c>
      <c r="E255" s="70" t="s">
        <v>43</v>
      </c>
      <c r="F255" s="77" t="n">
        <v>7</v>
      </c>
      <c r="G255" s="77" t="n">
        <v>0</v>
      </c>
      <c r="H255" s="77" t="n">
        <v>0</v>
      </c>
      <c r="I255" s="77" t="n">
        <v>0</v>
      </c>
      <c r="J255" s="77" t="n">
        <v>0</v>
      </c>
      <c r="K255" s="77" t="n">
        <f aca="false">SUM(F255:J255)</f>
        <v>7</v>
      </c>
      <c r="L255" s="27"/>
    </row>
    <row r="256" customFormat="false" ht="22.15" hidden="false" customHeight="true" outlineLevel="0" collapsed="false">
      <c r="A256" s="24" t="s">
        <v>516</v>
      </c>
      <c r="B256" s="22" t="n">
        <v>1</v>
      </c>
      <c r="C256" s="21" t="s">
        <v>517</v>
      </c>
      <c r="D256" s="21" t="s">
        <v>518</v>
      </c>
      <c r="E256" s="22" t="s">
        <v>52</v>
      </c>
      <c r="F256" s="23" t="n">
        <v>2</v>
      </c>
      <c r="G256" s="23" t="n">
        <v>7</v>
      </c>
      <c r="H256" s="23" t="n">
        <v>2</v>
      </c>
      <c r="I256" s="23" t="n">
        <v>0</v>
      </c>
      <c r="J256" s="23" t="n">
        <v>0</v>
      </c>
      <c r="K256" s="23" t="n">
        <f aca="false">SUM(F256:J256)</f>
        <v>11</v>
      </c>
      <c r="L256" s="22" t="s">
        <v>44</v>
      </c>
      <c r="M256" s="24" t="n">
        <f aca="false">SUM(K256:K265)</f>
        <v>44</v>
      </c>
      <c r="N256" s="35" t="n">
        <v>36</v>
      </c>
      <c r="O256" s="35"/>
      <c r="P256" s="35"/>
    </row>
    <row r="257" s="35" customFormat="true" ht="22.15" hidden="false" customHeight="true" outlineLevel="0" collapsed="false">
      <c r="A257" s="36" t="s">
        <v>516</v>
      </c>
      <c r="B257" s="27" t="n">
        <v>2</v>
      </c>
      <c r="C257" s="26" t="s">
        <v>519</v>
      </c>
      <c r="D257" s="26" t="s">
        <v>520</v>
      </c>
      <c r="E257" s="27" t="s">
        <v>43</v>
      </c>
      <c r="F257" s="28" t="n">
        <v>7</v>
      </c>
      <c r="G257" s="28" t="n">
        <v>0</v>
      </c>
      <c r="H257" s="28" t="n">
        <v>1</v>
      </c>
      <c r="I257" s="28" t="n">
        <v>0</v>
      </c>
      <c r="J257" s="28" t="n">
        <v>0</v>
      </c>
      <c r="K257" s="28" t="n">
        <f aca="false">SUM(F257:J257)</f>
        <v>8</v>
      </c>
      <c r="L257" s="27" t="s">
        <v>49</v>
      </c>
      <c r="M257" s="29"/>
      <c r="N257" s="29"/>
      <c r="O257" s="29"/>
      <c r="P257" s="29"/>
    </row>
    <row r="258" s="29" customFormat="true" ht="22.15" hidden="false" customHeight="true" outlineLevel="0" collapsed="false">
      <c r="A258" s="36" t="s">
        <v>516</v>
      </c>
      <c r="B258" s="27" t="n">
        <v>3</v>
      </c>
      <c r="C258" s="26" t="s">
        <v>521</v>
      </c>
      <c r="D258" s="26" t="s">
        <v>522</v>
      </c>
      <c r="E258" s="27" t="s">
        <v>43</v>
      </c>
      <c r="F258" s="28" t="n">
        <v>7</v>
      </c>
      <c r="G258" s="28" t="n">
        <v>0</v>
      </c>
      <c r="H258" s="28" t="n">
        <v>0</v>
      </c>
      <c r="I258" s="28" t="n">
        <v>0</v>
      </c>
      <c r="J258" s="28" t="n">
        <v>0</v>
      </c>
      <c r="K258" s="28" t="n">
        <f aca="false">SUM(F258:J258)</f>
        <v>7</v>
      </c>
      <c r="L258" s="27" t="s">
        <v>49</v>
      </c>
    </row>
    <row r="259" s="29" customFormat="true" ht="22.15" hidden="false" customHeight="true" outlineLevel="0" collapsed="false">
      <c r="A259" s="36" t="s">
        <v>516</v>
      </c>
      <c r="B259" s="27" t="n">
        <v>4</v>
      </c>
      <c r="C259" s="26" t="s">
        <v>523</v>
      </c>
      <c r="D259" s="26" t="s">
        <v>524</v>
      </c>
      <c r="E259" s="27" t="s">
        <v>43</v>
      </c>
      <c r="F259" s="28" t="n">
        <v>7</v>
      </c>
      <c r="G259" s="28" t="n">
        <v>0</v>
      </c>
      <c r="H259" s="28" t="n">
        <v>0</v>
      </c>
      <c r="I259" s="28" t="n">
        <v>0</v>
      </c>
      <c r="J259" s="28" t="n">
        <v>0</v>
      </c>
      <c r="K259" s="28" t="n">
        <f aca="false">SUM(F259:J259)</f>
        <v>7</v>
      </c>
      <c r="L259" s="27" t="s">
        <v>49</v>
      </c>
    </row>
    <row r="260" s="29" customFormat="true" ht="22.15" hidden="false" customHeight="true" outlineLevel="0" collapsed="false">
      <c r="A260" s="36" t="s">
        <v>516</v>
      </c>
      <c r="B260" s="27" t="n">
        <v>5</v>
      </c>
      <c r="C260" s="26" t="s">
        <v>525</v>
      </c>
      <c r="D260" s="26" t="s">
        <v>526</v>
      </c>
      <c r="E260" s="27" t="s">
        <v>43</v>
      </c>
      <c r="F260" s="28" t="n">
        <v>7</v>
      </c>
      <c r="G260" s="28" t="n">
        <v>0</v>
      </c>
      <c r="H260" s="28" t="n">
        <v>0</v>
      </c>
      <c r="I260" s="28" t="n">
        <v>0</v>
      </c>
      <c r="J260" s="28" t="n">
        <v>0</v>
      </c>
      <c r="K260" s="28" t="n">
        <f aca="false">SUM(F260:J260)</f>
        <v>7</v>
      </c>
      <c r="L260" s="27" t="s">
        <v>49</v>
      </c>
    </row>
    <row r="261" s="29" customFormat="true" ht="22.15" hidden="false" customHeight="true" outlineLevel="0" collapsed="false">
      <c r="A261" s="30" t="s">
        <v>516</v>
      </c>
      <c r="B261" s="4" t="n">
        <v>6</v>
      </c>
      <c r="C261" s="3" t="s">
        <v>527</v>
      </c>
      <c r="D261" s="3" t="s">
        <v>528</v>
      </c>
      <c r="E261" s="4" t="s">
        <v>52</v>
      </c>
      <c r="F261" s="5" t="n">
        <v>2</v>
      </c>
      <c r="G261" s="5" t="n">
        <v>0</v>
      </c>
      <c r="H261" s="5" t="n">
        <v>0</v>
      </c>
      <c r="I261" s="5" t="n">
        <v>0</v>
      </c>
      <c r="J261" s="5" t="n">
        <v>0</v>
      </c>
      <c r="K261" s="5" t="n">
        <f aca="false">SUM(F261:J261)</f>
        <v>2</v>
      </c>
      <c r="L261" s="4"/>
      <c r="M261" s="1"/>
      <c r="N261" s="1"/>
      <c r="O261" s="1"/>
      <c r="P261" s="1"/>
    </row>
    <row r="262" customFormat="false" ht="22.15" hidden="false" customHeight="true" outlineLevel="0" collapsed="false">
      <c r="A262" s="30" t="s">
        <v>516</v>
      </c>
      <c r="B262" s="4" t="n">
        <v>7</v>
      </c>
      <c r="C262" s="3" t="s">
        <v>529</v>
      </c>
      <c r="D262" s="3" t="s">
        <v>530</v>
      </c>
      <c r="E262" s="4" t="s">
        <v>43</v>
      </c>
      <c r="F262" s="5" t="n">
        <v>2</v>
      </c>
      <c r="G262" s="5" t="n">
        <v>0</v>
      </c>
      <c r="H262" s="5" t="n">
        <v>0</v>
      </c>
      <c r="I262" s="5" t="n">
        <v>0</v>
      </c>
      <c r="J262" s="5" t="n">
        <v>0</v>
      </c>
      <c r="K262" s="5" t="n">
        <f aca="false">SUM(F262:J262)</f>
        <v>2</v>
      </c>
      <c r="L262" s="4"/>
    </row>
    <row r="263" customFormat="false" ht="22.15" hidden="false" customHeight="true" outlineLevel="0" collapsed="false">
      <c r="A263" s="30" t="s">
        <v>516</v>
      </c>
      <c r="B263" s="4" t="n">
        <v>8</v>
      </c>
      <c r="C263" s="3" t="s">
        <v>531</v>
      </c>
      <c r="D263" s="3" t="s">
        <v>532</v>
      </c>
      <c r="E263" s="4" t="s">
        <v>43</v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f aca="false">SUM(F263:J263)</f>
        <v>0</v>
      </c>
      <c r="L263" s="4"/>
    </row>
    <row r="264" customFormat="false" ht="22.15" hidden="false" customHeight="true" outlineLevel="0" collapsed="false">
      <c r="A264" s="30" t="s">
        <v>516</v>
      </c>
      <c r="B264" s="4" t="n">
        <v>9</v>
      </c>
      <c r="C264" s="3" t="s">
        <v>531</v>
      </c>
      <c r="D264" s="3" t="s">
        <v>533</v>
      </c>
      <c r="E264" s="4" t="s">
        <v>52</v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0</v>
      </c>
      <c r="K264" s="5" t="n">
        <f aca="false">SUM(F264:J264)</f>
        <v>0</v>
      </c>
      <c r="L264" s="4"/>
    </row>
    <row r="265" customFormat="false" ht="22.15" hidden="false" customHeight="true" outlineLevel="0" collapsed="false">
      <c r="A265" s="30" t="s">
        <v>516</v>
      </c>
      <c r="B265" s="4" t="n">
        <v>10</v>
      </c>
      <c r="C265" s="3" t="s">
        <v>534</v>
      </c>
      <c r="D265" s="3" t="s">
        <v>535</v>
      </c>
      <c r="E265" s="4" t="s">
        <v>43</v>
      </c>
      <c r="F265" s="5" t="n">
        <v>0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f aca="false">SUM(F265:J265)</f>
        <v>0</v>
      </c>
      <c r="L265" s="4"/>
    </row>
    <row r="266" customFormat="false" ht="22.15" hidden="false" customHeight="true" outlineLevel="0" collapsed="false">
      <c r="A266" s="36" t="s">
        <v>536</v>
      </c>
      <c r="B266" s="27" t="n">
        <v>1</v>
      </c>
      <c r="C266" s="26" t="s">
        <v>537</v>
      </c>
      <c r="D266" s="26" t="s">
        <v>538</v>
      </c>
      <c r="E266" s="27" t="s">
        <v>43</v>
      </c>
      <c r="F266" s="28" t="n">
        <v>7</v>
      </c>
      <c r="G266" s="28" t="n">
        <v>0</v>
      </c>
      <c r="H266" s="28" t="n">
        <v>0</v>
      </c>
      <c r="I266" s="28" t="n">
        <v>0</v>
      </c>
      <c r="J266" s="28" t="n">
        <v>0</v>
      </c>
      <c r="K266" s="28" t="n">
        <f aca="false">SUM(F266:J266)</f>
        <v>7</v>
      </c>
      <c r="L266" s="27" t="s">
        <v>49</v>
      </c>
      <c r="M266" s="36" t="n">
        <f aca="false">SUM(K266:K270)</f>
        <v>39</v>
      </c>
      <c r="N266" s="29" t="n">
        <v>38</v>
      </c>
      <c r="O266" s="29"/>
      <c r="P266" s="29"/>
    </row>
    <row r="267" s="29" customFormat="true" ht="22.15" hidden="false" customHeight="true" outlineLevel="0" collapsed="false">
      <c r="A267" s="36" t="s">
        <v>536</v>
      </c>
      <c r="B267" s="27" t="n">
        <v>2</v>
      </c>
      <c r="C267" s="26" t="s">
        <v>539</v>
      </c>
      <c r="D267" s="26" t="s">
        <v>540</v>
      </c>
      <c r="E267" s="27" t="s">
        <v>43</v>
      </c>
      <c r="F267" s="28" t="n">
        <v>7</v>
      </c>
      <c r="G267" s="28" t="n">
        <v>1</v>
      </c>
      <c r="H267" s="28" t="n">
        <v>1</v>
      </c>
      <c r="I267" s="28" t="n">
        <v>0</v>
      </c>
      <c r="J267" s="28" t="n">
        <v>0</v>
      </c>
      <c r="K267" s="28" t="n">
        <f aca="false">SUM(F267:J267)</f>
        <v>9</v>
      </c>
      <c r="L267" s="27" t="s">
        <v>49</v>
      </c>
    </row>
    <row r="268" s="29" customFormat="true" ht="22.15" hidden="false" customHeight="true" outlineLevel="0" collapsed="false">
      <c r="A268" s="36" t="s">
        <v>536</v>
      </c>
      <c r="B268" s="27" t="n">
        <v>3</v>
      </c>
      <c r="C268" s="26" t="s">
        <v>541</v>
      </c>
      <c r="D268" s="26" t="s">
        <v>542</v>
      </c>
      <c r="E268" s="27" t="s">
        <v>43</v>
      </c>
      <c r="F268" s="28" t="n">
        <v>7</v>
      </c>
      <c r="G268" s="28" t="n">
        <v>1</v>
      </c>
      <c r="H268" s="28" t="n">
        <v>0</v>
      </c>
      <c r="I268" s="28" t="n">
        <v>0</v>
      </c>
      <c r="J268" s="28" t="n">
        <v>0</v>
      </c>
      <c r="K268" s="28" t="n">
        <f aca="false">SUM(F268:J268)</f>
        <v>8</v>
      </c>
      <c r="L268" s="27" t="s">
        <v>49</v>
      </c>
    </row>
    <row r="269" s="29" customFormat="true" ht="22.15" hidden="false" customHeight="true" outlineLevel="0" collapsed="false">
      <c r="A269" s="36" t="s">
        <v>536</v>
      </c>
      <c r="B269" s="27" t="n">
        <v>4</v>
      </c>
      <c r="C269" s="26" t="s">
        <v>543</v>
      </c>
      <c r="D269" s="26" t="s">
        <v>149</v>
      </c>
      <c r="E269" s="27" t="s">
        <v>43</v>
      </c>
      <c r="F269" s="28" t="n">
        <v>7</v>
      </c>
      <c r="G269" s="28" t="n">
        <v>0</v>
      </c>
      <c r="H269" s="28" t="n">
        <v>0</v>
      </c>
      <c r="I269" s="28" t="n">
        <v>0</v>
      </c>
      <c r="J269" s="28" t="n">
        <v>0</v>
      </c>
      <c r="K269" s="28" t="n">
        <f aca="false">SUM(F269:J269)</f>
        <v>7</v>
      </c>
      <c r="L269" s="27" t="s">
        <v>49</v>
      </c>
    </row>
    <row r="270" s="29" customFormat="true" ht="22.15" hidden="false" customHeight="true" outlineLevel="0" collapsed="false">
      <c r="A270" s="36" t="s">
        <v>536</v>
      </c>
      <c r="B270" s="27" t="n">
        <v>5</v>
      </c>
      <c r="C270" s="26" t="s">
        <v>541</v>
      </c>
      <c r="D270" s="26" t="s">
        <v>544</v>
      </c>
      <c r="E270" s="27" t="s">
        <v>43</v>
      </c>
      <c r="F270" s="28" t="n">
        <v>7</v>
      </c>
      <c r="G270" s="28" t="n">
        <v>1</v>
      </c>
      <c r="H270" s="28" t="n">
        <v>0</v>
      </c>
      <c r="I270" s="28" t="n">
        <v>0</v>
      </c>
      <c r="J270" s="28" t="n">
        <v>0</v>
      </c>
      <c r="K270" s="28" t="n">
        <f aca="false">SUM(F270:J270)</f>
        <v>8</v>
      </c>
      <c r="L270" s="27" t="s">
        <v>49</v>
      </c>
    </row>
    <row r="271" s="29" customFormat="true" ht="22.15" hidden="false" customHeight="true" outlineLevel="0" collapsed="false">
      <c r="A271" s="36" t="s">
        <v>545</v>
      </c>
      <c r="B271" s="27" t="n">
        <v>1</v>
      </c>
      <c r="C271" s="26" t="s">
        <v>546</v>
      </c>
      <c r="D271" s="26" t="s">
        <v>547</v>
      </c>
      <c r="E271" s="27" t="s">
        <v>43</v>
      </c>
      <c r="F271" s="28" t="n">
        <v>7</v>
      </c>
      <c r="G271" s="28" t="n">
        <v>0</v>
      </c>
      <c r="H271" s="28" t="n">
        <v>0</v>
      </c>
      <c r="I271" s="28" t="n">
        <v>0</v>
      </c>
      <c r="J271" s="28" t="n">
        <v>2</v>
      </c>
      <c r="K271" s="28" t="n">
        <f aca="false">SUM(F271:J271)</f>
        <v>9</v>
      </c>
      <c r="L271" s="27" t="s">
        <v>49</v>
      </c>
      <c r="M271" s="36" t="n">
        <f aca="false">SUM(K271:K276)</f>
        <v>33</v>
      </c>
      <c r="N271" s="29" t="n">
        <v>39</v>
      </c>
    </row>
    <row r="272" s="29" customFormat="true" ht="22.15" hidden="false" customHeight="true" outlineLevel="0" collapsed="false">
      <c r="A272" s="36" t="s">
        <v>545</v>
      </c>
      <c r="B272" s="27" t="n">
        <v>2</v>
      </c>
      <c r="C272" s="26" t="s">
        <v>548</v>
      </c>
      <c r="D272" s="26" t="s">
        <v>549</v>
      </c>
      <c r="E272" s="27" t="s">
        <v>43</v>
      </c>
      <c r="F272" s="28" t="n">
        <v>7</v>
      </c>
      <c r="G272" s="28" t="n">
        <v>0</v>
      </c>
      <c r="H272" s="28" t="n">
        <v>0</v>
      </c>
      <c r="I272" s="28" t="n">
        <v>1</v>
      </c>
      <c r="J272" s="28" t="n">
        <v>0</v>
      </c>
      <c r="K272" s="28" t="n">
        <f aca="false">SUM(F272:J272)</f>
        <v>8</v>
      </c>
      <c r="L272" s="27" t="s">
        <v>49</v>
      </c>
    </row>
    <row r="273" s="29" customFormat="true" ht="22.15" hidden="false" customHeight="true" outlineLevel="0" collapsed="false">
      <c r="A273" s="36" t="s">
        <v>545</v>
      </c>
      <c r="B273" s="27" t="n">
        <v>3</v>
      </c>
      <c r="C273" s="26" t="s">
        <v>550</v>
      </c>
      <c r="D273" s="26" t="s">
        <v>551</v>
      </c>
      <c r="E273" s="27" t="s">
        <v>43</v>
      </c>
      <c r="F273" s="28" t="n">
        <v>7</v>
      </c>
      <c r="G273" s="28" t="n">
        <v>0</v>
      </c>
      <c r="H273" s="28" t="n">
        <v>0</v>
      </c>
      <c r="I273" s="28" t="n">
        <v>0</v>
      </c>
      <c r="J273" s="28" t="n">
        <v>0</v>
      </c>
      <c r="K273" s="28" t="n">
        <f aca="false">SUM(F273:J273)</f>
        <v>7</v>
      </c>
      <c r="L273" s="27" t="s">
        <v>49</v>
      </c>
    </row>
    <row r="274" s="29" customFormat="true" ht="22.15" hidden="false" customHeight="true" outlineLevel="0" collapsed="false">
      <c r="A274" s="36" t="s">
        <v>545</v>
      </c>
      <c r="B274" s="27" t="n">
        <v>4</v>
      </c>
      <c r="C274" s="26" t="s">
        <v>552</v>
      </c>
      <c r="D274" s="26" t="s">
        <v>553</v>
      </c>
      <c r="E274" s="27" t="s">
        <v>43</v>
      </c>
      <c r="F274" s="28" t="n">
        <v>7</v>
      </c>
      <c r="G274" s="28" t="n">
        <v>0</v>
      </c>
      <c r="H274" s="28" t="n">
        <v>0</v>
      </c>
      <c r="I274" s="28" t="n">
        <v>0</v>
      </c>
      <c r="J274" s="28" t="n">
        <v>0</v>
      </c>
      <c r="K274" s="28" t="n">
        <f aca="false">SUM(F274:J274)</f>
        <v>7</v>
      </c>
      <c r="L274" s="27" t="s">
        <v>49</v>
      </c>
    </row>
    <row r="275" s="29" customFormat="true" ht="22.15" hidden="false" customHeight="true" outlineLevel="0" collapsed="false">
      <c r="A275" s="30" t="s">
        <v>545</v>
      </c>
      <c r="B275" s="4" t="n">
        <v>5</v>
      </c>
      <c r="C275" s="3" t="s">
        <v>554</v>
      </c>
      <c r="D275" s="3" t="s">
        <v>553</v>
      </c>
      <c r="E275" s="4" t="s">
        <v>43</v>
      </c>
      <c r="F275" s="5" t="n">
        <v>2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f aca="false">SUM(F275:J275)</f>
        <v>2</v>
      </c>
      <c r="L275" s="4"/>
      <c r="M275" s="1"/>
      <c r="N275" s="1"/>
      <c r="O275" s="1"/>
      <c r="P275" s="1"/>
    </row>
    <row r="276" customFormat="false" ht="22.15" hidden="false" customHeight="true" outlineLevel="0" collapsed="false">
      <c r="A276" s="30" t="s">
        <v>545</v>
      </c>
      <c r="B276" s="4" t="n">
        <v>6</v>
      </c>
      <c r="C276" s="3" t="s">
        <v>555</v>
      </c>
      <c r="D276" s="3" t="s">
        <v>553</v>
      </c>
      <c r="E276" s="4" t="s">
        <v>43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f aca="false">SUM(F276:J276)</f>
        <v>0</v>
      </c>
      <c r="L276" s="4"/>
    </row>
    <row r="277" customFormat="false" ht="22.15" hidden="false" customHeight="true" outlineLevel="0" collapsed="false">
      <c r="A277" s="30" t="s">
        <v>556</v>
      </c>
      <c r="B277" s="4" t="n">
        <v>1</v>
      </c>
      <c r="C277" s="3" t="s">
        <v>557</v>
      </c>
      <c r="D277" s="3" t="s">
        <v>558</v>
      </c>
      <c r="F277" s="5" t="n">
        <v>4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f aca="false">SUM(F277:J277)</f>
        <v>4</v>
      </c>
      <c r="L277" s="4"/>
      <c r="M277" s="30" t="n">
        <f aca="false">SUM(K277:K281)</f>
        <v>8</v>
      </c>
      <c r="N277" s="1" t="n">
        <v>42</v>
      </c>
    </row>
    <row r="278" customFormat="false" ht="22.15" hidden="false" customHeight="true" outlineLevel="0" collapsed="false">
      <c r="A278" s="30" t="s">
        <v>556</v>
      </c>
      <c r="B278" s="4" t="n">
        <v>2</v>
      </c>
      <c r="C278" s="3" t="s">
        <v>559</v>
      </c>
      <c r="D278" s="3" t="s">
        <v>560</v>
      </c>
      <c r="F278" s="5" t="n">
        <v>1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f aca="false">SUM(F278:J278)</f>
        <v>1</v>
      </c>
      <c r="L278" s="4"/>
    </row>
    <row r="279" customFormat="false" ht="22.15" hidden="false" customHeight="true" outlineLevel="0" collapsed="false">
      <c r="A279" s="30" t="s">
        <v>556</v>
      </c>
      <c r="B279" s="4" t="n">
        <v>3</v>
      </c>
      <c r="C279" s="3" t="s">
        <v>561</v>
      </c>
      <c r="D279" s="3" t="s">
        <v>562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f aca="false">SUM(F279:J279)</f>
        <v>1</v>
      </c>
      <c r="L279" s="4"/>
    </row>
    <row r="280" customFormat="false" ht="22.15" hidden="false" customHeight="true" outlineLevel="0" collapsed="false">
      <c r="A280" s="30" t="s">
        <v>556</v>
      </c>
      <c r="B280" s="4" t="n">
        <v>4</v>
      </c>
      <c r="C280" s="3" t="s">
        <v>563</v>
      </c>
      <c r="D280" s="3" t="s">
        <v>564</v>
      </c>
      <c r="F280" s="5" t="n">
        <v>2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f aca="false">SUM(F280:J280)</f>
        <v>2</v>
      </c>
      <c r="L280" s="4"/>
    </row>
    <row r="281" customFormat="false" ht="22.15" hidden="false" customHeight="true" outlineLevel="0" collapsed="false">
      <c r="A281" s="30" t="s">
        <v>556</v>
      </c>
      <c r="B281" s="4" t="n">
        <v>5</v>
      </c>
      <c r="C281" s="3" t="s">
        <v>565</v>
      </c>
      <c r="D281" s="3" t="s">
        <v>566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f aca="false">SUM(F281:J281)</f>
        <v>0</v>
      </c>
      <c r="L281" s="4"/>
    </row>
    <row r="282" customFormat="false" ht="22.15" hidden="false" customHeight="true" outlineLevel="0" collapsed="false">
      <c r="A282" s="38" t="s">
        <v>567</v>
      </c>
      <c r="B282" s="17" t="n">
        <v>1</v>
      </c>
      <c r="C282" s="78" t="s">
        <v>568</v>
      </c>
      <c r="D282" s="78" t="s">
        <v>569</v>
      </c>
      <c r="E282" s="17" t="s">
        <v>43</v>
      </c>
      <c r="F282" s="79" t="n">
        <v>7</v>
      </c>
      <c r="G282" s="79" t="n">
        <v>0</v>
      </c>
      <c r="H282" s="79" t="n">
        <v>7</v>
      </c>
      <c r="I282" s="79" t="n">
        <v>7</v>
      </c>
      <c r="J282" s="79" t="n">
        <v>0</v>
      </c>
      <c r="K282" s="18" t="n">
        <f aca="false">SUM(F282:J282)</f>
        <v>21</v>
      </c>
      <c r="L282" s="17" t="s">
        <v>71</v>
      </c>
      <c r="M282" s="38" t="n">
        <f aca="false">SUM(K282:K291)</f>
        <v>144</v>
      </c>
      <c r="N282" s="19" t="n">
        <v>17</v>
      </c>
      <c r="O282" s="19"/>
      <c r="P282" s="19"/>
    </row>
    <row r="283" s="19" customFormat="true" ht="22.15" hidden="false" customHeight="true" outlineLevel="0" collapsed="false">
      <c r="A283" s="38" t="s">
        <v>567</v>
      </c>
      <c r="B283" s="17" t="n">
        <v>2</v>
      </c>
      <c r="C283" s="78" t="s">
        <v>570</v>
      </c>
      <c r="D283" s="78" t="s">
        <v>79</v>
      </c>
      <c r="E283" s="17" t="s">
        <v>43</v>
      </c>
      <c r="F283" s="79" t="n">
        <v>7</v>
      </c>
      <c r="G283" s="79" t="n">
        <v>7</v>
      </c>
      <c r="H283" s="79" t="n">
        <v>4</v>
      </c>
      <c r="I283" s="79" t="n">
        <v>0</v>
      </c>
      <c r="J283" s="79" t="n">
        <v>0</v>
      </c>
      <c r="K283" s="18" t="n">
        <f aca="false">SUM(F283:J283)</f>
        <v>18</v>
      </c>
      <c r="L283" s="17" t="s">
        <v>71</v>
      </c>
    </row>
    <row r="284" s="19" customFormat="true" ht="22.15" hidden="false" customHeight="true" outlineLevel="0" collapsed="false">
      <c r="A284" s="24" t="s">
        <v>567</v>
      </c>
      <c r="B284" s="22" t="n">
        <v>3</v>
      </c>
      <c r="C284" s="80" t="s">
        <v>571</v>
      </c>
      <c r="D284" s="80" t="s">
        <v>572</v>
      </c>
      <c r="E284" s="22" t="s">
        <v>43</v>
      </c>
      <c r="F284" s="81" t="n">
        <v>1</v>
      </c>
      <c r="G284" s="81" t="n">
        <v>7</v>
      </c>
      <c r="H284" s="81" t="n">
        <v>7</v>
      </c>
      <c r="I284" s="81" t="n">
        <v>0</v>
      </c>
      <c r="J284" s="81" t="n">
        <v>0</v>
      </c>
      <c r="K284" s="23" t="n">
        <f aca="false">SUM(F284:J284)</f>
        <v>15</v>
      </c>
      <c r="L284" s="22" t="s">
        <v>44</v>
      </c>
      <c r="M284" s="35"/>
      <c r="N284" s="35"/>
      <c r="O284" s="35"/>
      <c r="P284" s="35"/>
    </row>
    <row r="285" s="35" customFormat="true" ht="22.15" hidden="false" customHeight="true" outlineLevel="0" collapsed="false">
      <c r="A285" s="24" t="s">
        <v>567</v>
      </c>
      <c r="B285" s="22" t="n">
        <v>4</v>
      </c>
      <c r="C285" s="80" t="s">
        <v>573</v>
      </c>
      <c r="D285" s="80" t="s">
        <v>574</v>
      </c>
      <c r="E285" s="22" t="s">
        <v>43</v>
      </c>
      <c r="F285" s="81" t="n">
        <v>7</v>
      </c>
      <c r="G285" s="81" t="n">
        <v>7</v>
      </c>
      <c r="H285" s="81" t="n">
        <v>1</v>
      </c>
      <c r="I285" s="81" t="n">
        <v>0</v>
      </c>
      <c r="J285" s="81" t="n">
        <v>0</v>
      </c>
      <c r="K285" s="23" t="n">
        <f aca="false">SUM(F285:J285)</f>
        <v>15</v>
      </c>
      <c r="L285" s="22" t="s">
        <v>44</v>
      </c>
    </row>
    <row r="286" s="35" customFormat="true" ht="22.15" hidden="false" customHeight="true" outlineLevel="0" collapsed="false">
      <c r="A286" s="24" t="s">
        <v>567</v>
      </c>
      <c r="B286" s="22" t="n">
        <v>5</v>
      </c>
      <c r="C286" s="80" t="s">
        <v>575</v>
      </c>
      <c r="D286" s="80" t="s">
        <v>576</v>
      </c>
      <c r="E286" s="22" t="s">
        <v>43</v>
      </c>
      <c r="F286" s="81" t="n">
        <v>7</v>
      </c>
      <c r="G286" s="81" t="n">
        <v>0</v>
      </c>
      <c r="H286" s="81" t="n">
        <v>7</v>
      </c>
      <c r="I286" s="81" t="n">
        <v>0</v>
      </c>
      <c r="J286" s="81" t="n">
        <v>0</v>
      </c>
      <c r="K286" s="23" t="n">
        <f aca="false">SUM(F286:J286)</f>
        <v>14</v>
      </c>
      <c r="L286" s="22" t="s">
        <v>44</v>
      </c>
    </row>
    <row r="287" s="35" customFormat="true" ht="22.15" hidden="false" customHeight="true" outlineLevel="0" collapsed="false">
      <c r="A287" s="24" t="s">
        <v>567</v>
      </c>
      <c r="B287" s="22" t="n">
        <v>6</v>
      </c>
      <c r="C287" s="80" t="s">
        <v>577</v>
      </c>
      <c r="D287" s="80" t="s">
        <v>578</v>
      </c>
      <c r="E287" s="22" t="s">
        <v>43</v>
      </c>
      <c r="F287" s="81" t="n">
        <v>7</v>
      </c>
      <c r="G287" s="81" t="n">
        <v>0</v>
      </c>
      <c r="H287" s="81" t="n">
        <v>7</v>
      </c>
      <c r="I287" s="81" t="n">
        <v>0</v>
      </c>
      <c r="J287" s="81" t="n">
        <v>0</v>
      </c>
      <c r="K287" s="23" t="n">
        <f aca="false">SUM(F287:J287)</f>
        <v>14</v>
      </c>
      <c r="L287" s="22" t="s">
        <v>44</v>
      </c>
    </row>
    <row r="288" s="35" customFormat="true" ht="22.15" hidden="false" customHeight="true" outlineLevel="0" collapsed="false">
      <c r="A288" s="24" t="s">
        <v>567</v>
      </c>
      <c r="B288" s="22" t="n">
        <v>7</v>
      </c>
      <c r="C288" s="80" t="s">
        <v>579</v>
      </c>
      <c r="D288" s="80" t="s">
        <v>580</v>
      </c>
      <c r="E288" s="22" t="s">
        <v>43</v>
      </c>
      <c r="F288" s="81" t="n">
        <v>7</v>
      </c>
      <c r="G288" s="81" t="n">
        <v>7</v>
      </c>
      <c r="H288" s="81" t="n">
        <v>0</v>
      </c>
      <c r="I288" s="81" t="n">
        <v>0</v>
      </c>
      <c r="J288" s="81" t="n">
        <v>0</v>
      </c>
      <c r="K288" s="23" t="n">
        <f aca="false">SUM(F288:J288)</f>
        <v>14</v>
      </c>
      <c r="L288" s="22" t="s">
        <v>44</v>
      </c>
    </row>
    <row r="289" s="35" customFormat="true" ht="22.15" hidden="false" customHeight="true" outlineLevel="0" collapsed="false">
      <c r="A289" s="36" t="s">
        <v>567</v>
      </c>
      <c r="B289" s="27" t="n">
        <v>8</v>
      </c>
      <c r="C289" s="82" t="s">
        <v>581</v>
      </c>
      <c r="D289" s="82" t="s">
        <v>582</v>
      </c>
      <c r="E289" s="27" t="s">
        <v>43</v>
      </c>
      <c r="F289" s="83" t="n">
        <v>6</v>
      </c>
      <c r="G289" s="83" t="n">
        <v>7</v>
      </c>
      <c r="H289" s="83" t="n">
        <v>0</v>
      </c>
      <c r="I289" s="83" t="n">
        <v>0</v>
      </c>
      <c r="J289" s="83" t="n">
        <v>0</v>
      </c>
      <c r="K289" s="28" t="n">
        <f aca="false">SUM(F289:J289)</f>
        <v>13</v>
      </c>
      <c r="L289" s="27" t="s">
        <v>49</v>
      </c>
      <c r="M289" s="29"/>
      <c r="N289" s="29"/>
      <c r="O289" s="29"/>
      <c r="P289" s="29"/>
    </row>
    <row r="290" s="29" customFormat="true" ht="22.15" hidden="false" customHeight="true" outlineLevel="0" collapsed="false">
      <c r="A290" s="36" t="s">
        <v>567</v>
      </c>
      <c r="B290" s="27" t="n">
        <v>9</v>
      </c>
      <c r="C290" s="82" t="s">
        <v>583</v>
      </c>
      <c r="D290" s="82" t="s">
        <v>584</v>
      </c>
      <c r="E290" s="27" t="s">
        <v>43</v>
      </c>
      <c r="F290" s="83" t="n">
        <v>7</v>
      </c>
      <c r="G290" s="83" t="n">
        <v>0</v>
      </c>
      <c r="H290" s="83" t="n">
        <v>3</v>
      </c>
      <c r="I290" s="83" t="n">
        <v>1</v>
      </c>
      <c r="J290" s="83" t="n">
        <v>0</v>
      </c>
      <c r="K290" s="28" t="n">
        <f aca="false">SUM(F290:J290)</f>
        <v>11</v>
      </c>
      <c r="L290" s="27" t="s">
        <v>49</v>
      </c>
    </row>
    <row r="291" s="29" customFormat="true" ht="22.15" hidden="false" customHeight="true" outlineLevel="0" collapsed="false">
      <c r="A291" s="36" t="s">
        <v>567</v>
      </c>
      <c r="B291" s="56" t="n">
        <v>10</v>
      </c>
      <c r="C291" s="52" t="s">
        <v>585</v>
      </c>
      <c r="D291" s="52" t="s">
        <v>586</v>
      </c>
      <c r="E291" s="56" t="s">
        <v>52</v>
      </c>
      <c r="F291" s="83" t="n">
        <v>7</v>
      </c>
      <c r="G291" s="83" t="n">
        <v>0</v>
      </c>
      <c r="H291" s="83" t="n">
        <v>0</v>
      </c>
      <c r="I291" s="83" t="n">
        <v>0</v>
      </c>
      <c r="J291" s="83" t="n">
        <v>2</v>
      </c>
      <c r="K291" s="53" t="n">
        <f aca="false">SUM(F291:J291)</f>
        <v>9</v>
      </c>
      <c r="L291" s="27" t="s">
        <v>49</v>
      </c>
    </row>
    <row r="292" s="29" customFormat="true" ht="22.15" hidden="false" customHeight="true" outlineLevel="0" collapsed="false">
      <c r="A292" s="37" t="s">
        <v>587</v>
      </c>
      <c r="B292" s="12" t="n">
        <v>1</v>
      </c>
      <c r="C292" s="11" t="s">
        <v>588</v>
      </c>
      <c r="D292" s="11" t="s">
        <v>589</v>
      </c>
      <c r="E292" s="12" t="s">
        <v>43</v>
      </c>
      <c r="F292" s="13" t="n">
        <v>7</v>
      </c>
      <c r="G292" s="13" t="n">
        <v>7</v>
      </c>
      <c r="H292" s="13" t="n">
        <v>7</v>
      </c>
      <c r="I292" s="13" t="n">
        <v>0</v>
      </c>
      <c r="J292" s="13" t="n">
        <v>7</v>
      </c>
      <c r="K292" s="13" t="n">
        <f aca="false">SUM(F292:J292)</f>
        <v>28</v>
      </c>
      <c r="L292" s="12" t="s">
        <v>68</v>
      </c>
      <c r="M292" s="37" t="n">
        <f aca="false">SUM(K292:K301)</f>
        <v>91</v>
      </c>
      <c r="N292" s="14" t="n">
        <v>26</v>
      </c>
      <c r="O292" s="14"/>
      <c r="P292" s="14"/>
    </row>
    <row r="293" s="14" customFormat="true" ht="22.15" hidden="false" customHeight="true" outlineLevel="0" collapsed="false">
      <c r="A293" s="24" t="s">
        <v>587</v>
      </c>
      <c r="B293" s="22" t="n">
        <v>2</v>
      </c>
      <c r="C293" s="21" t="s">
        <v>590</v>
      </c>
      <c r="D293" s="21" t="s">
        <v>591</v>
      </c>
      <c r="E293" s="22" t="s">
        <v>43</v>
      </c>
      <c r="F293" s="23" t="n">
        <v>7</v>
      </c>
      <c r="G293" s="23" t="n">
        <v>0</v>
      </c>
      <c r="H293" s="23" t="n">
        <v>4</v>
      </c>
      <c r="I293" s="23" t="n">
        <v>0</v>
      </c>
      <c r="J293" s="23" t="n">
        <v>0</v>
      </c>
      <c r="K293" s="23" t="n">
        <f aca="false">SUM(F293:J293)</f>
        <v>11</v>
      </c>
      <c r="L293" s="22" t="s">
        <v>44</v>
      </c>
      <c r="M293" s="35"/>
      <c r="N293" s="35"/>
      <c r="O293" s="35"/>
      <c r="P293" s="35"/>
    </row>
    <row r="294" s="35" customFormat="true" ht="22.15" hidden="false" customHeight="true" outlineLevel="0" collapsed="false">
      <c r="A294" s="36" t="s">
        <v>587</v>
      </c>
      <c r="B294" s="27" t="n">
        <v>3</v>
      </c>
      <c r="C294" s="26" t="s">
        <v>592</v>
      </c>
      <c r="D294" s="26" t="s">
        <v>593</v>
      </c>
      <c r="E294" s="27" t="s">
        <v>43</v>
      </c>
      <c r="F294" s="28" t="n">
        <v>7</v>
      </c>
      <c r="G294" s="28" t="n">
        <v>0</v>
      </c>
      <c r="H294" s="28" t="n">
        <v>0</v>
      </c>
      <c r="I294" s="28" t="n">
        <v>0</v>
      </c>
      <c r="J294" s="28" t="n">
        <v>0</v>
      </c>
      <c r="K294" s="28" t="n">
        <f aca="false">SUM(F294:J294)</f>
        <v>7</v>
      </c>
      <c r="L294" s="27" t="s">
        <v>49</v>
      </c>
      <c r="M294" s="29"/>
      <c r="N294" s="29"/>
      <c r="O294" s="29"/>
      <c r="P294" s="29"/>
    </row>
    <row r="295" s="29" customFormat="true" ht="22.15" hidden="false" customHeight="true" outlineLevel="0" collapsed="false">
      <c r="A295" s="36" t="s">
        <v>587</v>
      </c>
      <c r="B295" s="27" t="n">
        <v>4</v>
      </c>
      <c r="C295" s="26" t="s">
        <v>594</v>
      </c>
      <c r="D295" s="26" t="s">
        <v>595</v>
      </c>
      <c r="E295" s="27" t="s">
        <v>43</v>
      </c>
      <c r="F295" s="28" t="n">
        <v>7</v>
      </c>
      <c r="G295" s="28" t="n">
        <v>0</v>
      </c>
      <c r="H295" s="28" t="n">
        <v>0</v>
      </c>
      <c r="I295" s="28" t="n">
        <v>0</v>
      </c>
      <c r="J295" s="28" t="n">
        <v>0</v>
      </c>
      <c r="K295" s="28" t="n">
        <f aca="false">SUM(F295:J295)</f>
        <v>7</v>
      </c>
      <c r="L295" s="27" t="s">
        <v>49</v>
      </c>
    </row>
    <row r="296" s="29" customFormat="true" ht="22.15" hidden="false" customHeight="true" outlineLevel="0" collapsed="false">
      <c r="A296" s="36" t="s">
        <v>587</v>
      </c>
      <c r="B296" s="27" t="n">
        <v>5</v>
      </c>
      <c r="C296" s="26" t="s">
        <v>596</v>
      </c>
      <c r="D296" s="26" t="s">
        <v>597</v>
      </c>
      <c r="E296" s="27" t="s">
        <v>43</v>
      </c>
      <c r="F296" s="28" t="n">
        <v>7</v>
      </c>
      <c r="G296" s="28" t="n">
        <v>0</v>
      </c>
      <c r="H296" s="28" t="n">
        <v>0</v>
      </c>
      <c r="I296" s="28" t="n">
        <v>0</v>
      </c>
      <c r="J296" s="28" t="n">
        <v>0</v>
      </c>
      <c r="K296" s="28" t="n">
        <f aca="false">SUM(F296:J296)</f>
        <v>7</v>
      </c>
      <c r="L296" s="27" t="s">
        <v>49</v>
      </c>
    </row>
    <row r="297" s="29" customFormat="true" ht="22.15" hidden="false" customHeight="true" outlineLevel="0" collapsed="false">
      <c r="A297" s="36" t="s">
        <v>587</v>
      </c>
      <c r="B297" s="27" t="n">
        <v>6</v>
      </c>
      <c r="C297" s="26" t="s">
        <v>598</v>
      </c>
      <c r="D297" s="26" t="s">
        <v>599</v>
      </c>
      <c r="E297" s="27" t="s">
        <v>43</v>
      </c>
      <c r="F297" s="28" t="n">
        <v>7</v>
      </c>
      <c r="G297" s="28" t="n">
        <v>0</v>
      </c>
      <c r="H297" s="28" t="n">
        <v>0</v>
      </c>
      <c r="I297" s="28" t="n">
        <v>0</v>
      </c>
      <c r="J297" s="28" t="n">
        <v>0</v>
      </c>
      <c r="K297" s="28" t="n">
        <f aca="false">SUM(F297:J297)</f>
        <v>7</v>
      </c>
      <c r="L297" s="27" t="s">
        <v>49</v>
      </c>
    </row>
    <row r="298" s="29" customFormat="true" ht="22.15" hidden="false" customHeight="true" outlineLevel="0" collapsed="false">
      <c r="A298" s="36" t="s">
        <v>587</v>
      </c>
      <c r="B298" s="27" t="n">
        <v>7</v>
      </c>
      <c r="C298" s="26" t="s">
        <v>600</v>
      </c>
      <c r="D298" s="26" t="s">
        <v>601</v>
      </c>
      <c r="E298" s="27" t="s">
        <v>43</v>
      </c>
      <c r="F298" s="28" t="n">
        <v>7</v>
      </c>
      <c r="G298" s="28" t="n">
        <v>0</v>
      </c>
      <c r="H298" s="28" t="n">
        <v>0</v>
      </c>
      <c r="I298" s="28" t="n">
        <v>0</v>
      </c>
      <c r="J298" s="28" t="n">
        <v>0</v>
      </c>
      <c r="K298" s="28" t="n">
        <f aca="false">SUM(F298:J298)</f>
        <v>7</v>
      </c>
      <c r="L298" s="27" t="s">
        <v>49</v>
      </c>
    </row>
    <row r="299" s="29" customFormat="true" ht="22.15" hidden="false" customHeight="true" outlineLevel="0" collapsed="false">
      <c r="A299" s="36" t="s">
        <v>587</v>
      </c>
      <c r="B299" s="27" t="n">
        <v>8</v>
      </c>
      <c r="C299" s="26" t="s">
        <v>602</v>
      </c>
      <c r="D299" s="26" t="s">
        <v>603</v>
      </c>
      <c r="E299" s="27" t="s">
        <v>43</v>
      </c>
      <c r="F299" s="28" t="n">
        <v>7</v>
      </c>
      <c r="G299" s="28" t="n">
        <v>0</v>
      </c>
      <c r="H299" s="28" t="n">
        <v>0</v>
      </c>
      <c r="I299" s="28" t="n">
        <v>0</v>
      </c>
      <c r="J299" s="28" t="n">
        <v>0</v>
      </c>
      <c r="K299" s="28" t="n">
        <f aca="false">SUM(F299:J299)</f>
        <v>7</v>
      </c>
      <c r="L299" s="27" t="s">
        <v>49</v>
      </c>
    </row>
    <row r="300" s="29" customFormat="true" ht="22.15" hidden="false" customHeight="true" outlineLevel="0" collapsed="false">
      <c r="A300" s="30" t="s">
        <v>587</v>
      </c>
      <c r="B300" s="4" t="n">
        <v>9</v>
      </c>
      <c r="C300" s="3" t="s">
        <v>604</v>
      </c>
      <c r="D300" s="3" t="s">
        <v>605</v>
      </c>
      <c r="E300" s="4" t="s">
        <v>43</v>
      </c>
      <c r="F300" s="5" t="n">
        <v>6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f aca="false">SUM(F300:J300)</f>
        <v>6</v>
      </c>
      <c r="L300" s="4"/>
      <c r="M300" s="1"/>
      <c r="N300" s="1"/>
      <c r="O300" s="1"/>
      <c r="P300" s="1"/>
    </row>
    <row r="301" customFormat="false" ht="22.15" hidden="false" customHeight="true" outlineLevel="0" collapsed="false">
      <c r="A301" s="30" t="s">
        <v>587</v>
      </c>
      <c r="B301" s="4" t="n">
        <v>10</v>
      </c>
      <c r="C301" s="3" t="s">
        <v>598</v>
      </c>
      <c r="D301" s="3" t="s">
        <v>606</v>
      </c>
      <c r="E301" s="4" t="s">
        <v>43</v>
      </c>
      <c r="F301" s="5" t="n">
        <v>4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f aca="false">SUM(F301:J301)</f>
        <v>4</v>
      </c>
      <c r="L301" s="4"/>
    </row>
    <row r="302" customFormat="false" ht="22.15" hidden="false" customHeight="true" outlineLevel="0" collapsed="false">
      <c r="A302" s="24" t="s">
        <v>607</v>
      </c>
      <c r="B302" s="22" t="n">
        <v>1</v>
      </c>
      <c r="C302" s="21" t="s">
        <v>608</v>
      </c>
      <c r="D302" s="21" t="s">
        <v>609</v>
      </c>
      <c r="E302" s="22" t="s">
        <v>610</v>
      </c>
      <c r="F302" s="23" t="n">
        <v>7</v>
      </c>
      <c r="G302" s="23" t="n">
        <v>0</v>
      </c>
      <c r="H302" s="23" t="n">
        <v>7</v>
      </c>
      <c r="I302" s="23" t="n">
        <v>1</v>
      </c>
      <c r="J302" s="23" t="n">
        <v>0</v>
      </c>
      <c r="K302" s="23" t="n">
        <f aca="false">SUM(F302:J302)</f>
        <v>15</v>
      </c>
      <c r="L302" s="22" t="s">
        <v>44</v>
      </c>
      <c r="M302" s="24" t="n">
        <f aca="false">SUM(K302:K311)</f>
        <v>97</v>
      </c>
      <c r="N302" s="35" t="n">
        <v>24</v>
      </c>
      <c r="O302" s="35"/>
      <c r="P302" s="35"/>
    </row>
    <row r="303" s="35" customFormat="true" ht="22.15" hidden="false" customHeight="true" outlineLevel="0" collapsed="false">
      <c r="A303" s="24" t="s">
        <v>607</v>
      </c>
      <c r="B303" s="22" t="n">
        <v>2</v>
      </c>
      <c r="C303" s="21" t="s">
        <v>611</v>
      </c>
      <c r="D303" s="21" t="s">
        <v>612</v>
      </c>
      <c r="E303" s="22" t="s">
        <v>610</v>
      </c>
      <c r="F303" s="23" t="n">
        <v>7</v>
      </c>
      <c r="G303" s="23" t="n">
        <v>0</v>
      </c>
      <c r="H303" s="23" t="n">
        <v>7</v>
      </c>
      <c r="I303" s="23" t="n">
        <v>1</v>
      </c>
      <c r="J303" s="23" t="n">
        <v>0</v>
      </c>
      <c r="K303" s="23" t="n">
        <f aca="false">SUM(F303:J303)</f>
        <v>15</v>
      </c>
      <c r="L303" s="22" t="s">
        <v>44</v>
      </c>
    </row>
    <row r="304" s="35" customFormat="true" ht="22.15" hidden="false" customHeight="true" outlineLevel="0" collapsed="false">
      <c r="A304" s="24" t="s">
        <v>607</v>
      </c>
      <c r="B304" s="22" t="n">
        <v>3</v>
      </c>
      <c r="C304" s="21" t="s">
        <v>613</v>
      </c>
      <c r="D304" s="21" t="s">
        <v>614</v>
      </c>
      <c r="E304" s="22" t="s">
        <v>610</v>
      </c>
      <c r="F304" s="23" t="n">
        <v>7</v>
      </c>
      <c r="G304" s="23" t="n">
        <v>0</v>
      </c>
      <c r="H304" s="23" t="n">
        <v>7</v>
      </c>
      <c r="I304" s="23" t="n">
        <v>0</v>
      </c>
      <c r="J304" s="23" t="n">
        <v>0</v>
      </c>
      <c r="K304" s="23" t="n">
        <f aca="false">SUM(F304:J304)</f>
        <v>14</v>
      </c>
      <c r="L304" s="22" t="s">
        <v>44</v>
      </c>
    </row>
    <row r="305" s="35" customFormat="true" ht="22.15" hidden="false" customHeight="true" outlineLevel="0" collapsed="false">
      <c r="A305" s="36" t="s">
        <v>607</v>
      </c>
      <c r="B305" s="27" t="n">
        <v>4</v>
      </c>
      <c r="C305" s="26" t="s">
        <v>615</v>
      </c>
      <c r="D305" s="26" t="s">
        <v>616</v>
      </c>
      <c r="E305" s="27" t="s">
        <v>610</v>
      </c>
      <c r="F305" s="28" t="n">
        <v>7</v>
      </c>
      <c r="G305" s="28" t="n">
        <v>1</v>
      </c>
      <c r="H305" s="28" t="n">
        <v>2</v>
      </c>
      <c r="I305" s="28" t="n">
        <v>0</v>
      </c>
      <c r="J305" s="28" t="n">
        <v>0</v>
      </c>
      <c r="K305" s="28" t="n">
        <f aca="false">SUM(F305:J305)</f>
        <v>10</v>
      </c>
      <c r="L305" s="27" t="s">
        <v>49</v>
      </c>
      <c r="M305" s="29"/>
      <c r="N305" s="29"/>
      <c r="O305" s="29"/>
      <c r="P305" s="29"/>
    </row>
    <row r="306" s="29" customFormat="true" ht="22.15" hidden="false" customHeight="true" outlineLevel="0" collapsed="false">
      <c r="A306" s="36" t="s">
        <v>607</v>
      </c>
      <c r="B306" s="27" t="n">
        <v>5</v>
      </c>
      <c r="C306" s="26" t="s">
        <v>617</v>
      </c>
      <c r="D306" s="26" t="s">
        <v>618</v>
      </c>
      <c r="E306" s="27" t="s">
        <v>610</v>
      </c>
      <c r="F306" s="28" t="n">
        <v>7</v>
      </c>
      <c r="G306" s="28" t="n">
        <v>0</v>
      </c>
      <c r="H306" s="28" t="n">
        <v>0</v>
      </c>
      <c r="I306" s="28" t="n">
        <v>1</v>
      </c>
      <c r="J306" s="28" t="n">
        <v>0</v>
      </c>
      <c r="K306" s="28" t="n">
        <f aca="false">SUM(F306:J306)</f>
        <v>8</v>
      </c>
      <c r="L306" s="27" t="s">
        <v>49</v>
      </c>
    </row>
    <row r="307" s="29" customFormat="true" ht="22.15" hidden="false" customHeight="true" outlineLevel="0" collapsed="false">
      <c r="A307" s="36" t="s">
        <v>607</v>
      </c>
      <c r="B307" s="27" t="n">
        <v>6</v>
      </c>
      <c r="C307" s="26" t="s">
        <v>619</v>
      </c>
      <c r="D307" s="26" t="s">
        <v>620</v>
      </c>
      <c r="E307" s="27" t="s">
        <v>610</v>
      </c>
      <c r="F307" s="28" t="n">
        <v>7</v>
      </c>
      <c r="G307" s="28" t="n">
        <v>0</v>
      </c>
      <c r="H307" s="28" t="n">
        <v>0</v>
      </c>
      <c r="I307" s="28" t="n">
        <v>0</v>
      </c>
      <c r="J307" s="28" t="n">
        <v>0</v>
      </c>
      <c r="K307" s="28" t="n">
        <f aca="false">SUM(F307:J307)</f>
        <v>7</v>
      </c>
      <c r="L307" s="27" t="s">
        <v>49</v>
      </c>
    </row>
    <row r="308" s="29" customFormat="true" ht="22.15" hidden="false" customHeight="true" outlineLevel="0" collapsed="false">
      <c r="A308" s="36" t="s">
        <v>607</v>
      </c>
      <c r="B308" s="27" t="n">
        <v>7</v>
      </c>
      <c r="C308" s="26" t="s">
        <v>621</v>
      </c>
      <c r="D308" s="26" t="s">
        <v>618</v>
      </c>
      <c r="E308" s="27" t="s">
        <v>610</v>
      </c>
      <c r="F308" s="28" t="n">
        <v>7</v>
      </c>
      <c r="G308" s="28" t="n">
        <v>0</v>
      </c>
      <c r="H308" s="28" t="n">
        <v>0</v>
      </c>
      <c r="I308" s="28" t="n">
        <v>0</v>
      </c>
      <c r="J308" s="28" t="n">
        <v>0</v>
      </c>
      <c r="K308" s="28" t="n">
        <f aca="false">SUM(F308:J308)</f>
        <v>7</v>
      </c>
      <c r="L308" s="27" t="s">
        <v>49</v>
      </c>
    </row>
    <row r="309" s="29" customFormat="true" ht="22.15" hidden="false" customHeight="true" outlineLevel="0" collapsed="false">
      <c r="A309" s="36" t="s">
        <v>607</v>
      </c>
      <c r="B309" s="27" t="n">
        <v>8</v>
      </c>
      <c r="C309" s="26" t="s">
        <v>622</v>
      </c>
      <c r="D309" s="26" t="s">
        <v>623</v>
      </c>
      <c r="E309" s="27" t="s">
        <v>610</v>
      </c>
      <c r="F309" s="28" t="n">
        <v>7</v>
      </c>
      <c r="G309" s="28" t="n">
        <v>0</v>
      </c>
      <c r="H309" s="28" t="n">
        <v>0</v>
      </c>
      <c r="I309" s="28" t="n">
        <v>0</v>
      </c>
      <c r="J309" s="28" t="n">
        <v>0</v>
      </c>
      <c r="K309" s="28" t="n">
        <f aca="false">SUM(F309:J309)</f>
        <v>7</v>
      </c>
      <c r="L309" s="27" t="s">
        <v>49</v>
      </c>
    </row>
    <row r="310" s="29" customFormat="true" ht="22.15" hidden="false" customHeight="true" outlineLevel="0" collapsed="false">
      <c r="A310" s="36" t="s">
        <v>607</v>
      </c>
      <c r="B310" s="27" t="n">
        <v>9</v>
      </c>
      <c r="C310" s="26" t="s">
        <v>624</v>
      </c>
      <c r="D310" s="26" t="s">
        <v>625</v>
      </c>
      <c r="E310" s="27" t="s">
        <v>610</v>
      </c>
      <c r="F310" s="28" t="n">
        <v>7</v>
      </c>
      <c r="G310" s="28" t="n">
        <v>0</v>
      </c>
      <c r="H310" s="28" t="n">
        <v>0</v>
      </c>
      <c r="I310" s="28" t="n">
        <v>0</v>
      </c>
      <c r="J310" s="28" t="n">
        <v>0</v>
      </c>
      <c r="K310" s="28" t="n">
        <f aca="false">SUM(F310:J310)</f>
        <v>7</v>
      </c>
      <c r="L310" s="27" t="s">
        <v>49</v>
      </c>
    </row>
    <row r="311" s="29" customFormat="true" ht="22.15" hidden="false" customHeight="true" outlineLevel="0" collapsed="false">
      <c r="A311" s="36" t="s">
        <v>607</v>
      </c>
      <c r="B311" s="27" t="n">
        <v>10</v>
      </c>
      <c r="C311" s="52" t="s">
        <v>626</v>
      </c>
      <c r="D311" s="52" t="s">
        <v>321</v>
      </c>
      <c r="E311" s="27" t="s">
        <v>610</v>
      </c>
      <c r="F311" s="28" t="n">
        <v>7</v>
      </c>
      <c r="G311" s="28" t="n">
        <v>0</v>
      </c>
      <c r="H311" s="28" t="n">
        <v>0</v>
      </c>
      <c r="I311" s="28" t="n">
        <v>0</v>
      </c>
      <c r="J311" s="28" t="n">
        <v>0</v>
      </c>
      <c r="K311" s="28" t="n">
        <f aca="false">SUM(F311:J311)</f>
        <v>7</v>
      </c>
      <c r="L311" s="27" t="s">
        <v>49</v>
      </c>
    </row>
    <row r="312" s="29" customFormat="true" ht="22.15" hidden="false" customHeight="true" outlineLevel="0" collapsed="false">
      <c r="A312" s="37" t="s">
        <v>627</v>
      </c>
      <c r="B312" s="12" t="n">
        <v>1</v>
      </c>
      <c r="C312" s="11" t="s">
        <v>628</v>
      </c>
      <c r="D312" s="11" t="s">
        <v>629</v>
      </c>
      <c r="E312" s="12" t="s">
        <v>43</v>
      </c>
      <c r="F312" s="13" t="n">
        <v>7</v>
      </c>
      <c r="G312" s="13" t="n">
        <v>7</v>
      </c>
      <c r="H312" s="13" t="n">
        <v>7</v>
      </c>
      <c r="I312" s="13" t="n">
        <v>7</v>
      </c>
      <c r="J312" s="13" t="n">
        <v>0</v>
      </c>
      <c r="K312" s="13" t="n">
        <f aca="false">SUM(F312:J312)</f>
        <v>28</v>
      </c>
      <c r="L312" s="12" t="s">
        <v>68</v>
      </c>
      <c r="M312" s="37" t="n">
        <f aca="false">SUM(K312:K321)</f>
        <v>220</v>
      </c>
      <c r="N312" s="14" t="n">
        <v>5</v>
      </c>
      <c r="O312" s="14"/>
      <c r="P312" s="14"/>
    </row>
    <row r="313" s="14" customFormat="true" ht="22.15" hidden="false" customHeight="true" outlineLevel="0" collapsed="false">
      <c r="A313" s="38" t="s">
        <v>627</v>
      </c>
      <c r="B313" s="17" t="n">
        <v>2</v>
      </c>
      <c r="C313" s="16" t="s">
        <v>80</v>
      </c>
      <c r="D313" s="16" t="s">
        <v>630</v>
      </c>
      <c r="E313" s="17" t="s">
        <v>43</v>
      </c>
      <c r="F313" s="18" t="n">
        <v>7</v>
      </c>
      <c r="G313" s="18" t="n">
        <v>7</v>
      </c>
      <c r="H313" s="18" t="n">
        <v>7</v>
      </c>
      <c r="I313" s="18" t="n">
        <v>1</v>
      </c>
      <c r="J313" s="18" t="n">
        <v>5</v>
      </c>
      <c r="K313" s="18" t="n">
        <f aca="false">SUM(F313:J313)</f>
        <v>27</v>
      </c>
      <c r="L313" s="17" t="s">
        <v>71</v>
      </c>
      <c r="M313" s="19"/>
      <c r="N313" s="19"/>
      <c r="O313" s="19"/>
      <c r="P313" s="19"/>
    </row>
    <row r="314" s="19" customFormat="true" ht="22.15" hidden="false" customHeight="true" outlineLevel="0" collapsed="false">
      <c r="A314" s="38" t="s">
        <v>627</v>
      </c>
      <c r="B314" s="17" t="n">
        <v>3</v>
      </c>
      <c r="C314" s="16" t="s">
        <v>248</v>
      </c>
      <c r="D314" s="16" t="s">
        <v>631</v>
      </c>
      <c r="E314" s="17" t="s">
        <v>43</v>
      </c>
      <c r="F314" s="18" t="n">
        <v>7</v>
      </c>
      <c r="G314" s="18" t="n">
        <v>7</v>
      </c>
      <c r="H314" s="18" t="n">
        <v>6</v>
      </c>
      <c r="I314" s="18" t="n">
        <v>3</v>
      </c>
      <c r="J314" s="18" t="n">
        <v>0</v>
      </c>
      <c r="K314" s="18" t="n">
        <f aca="false">SUM(F314:J314)</f>
        <v>23</v>
      </c>
      <c r="L314" s="17" t="s">
        <v>71</v>
      </c>
    </row>
    <row r="315" s="19" customFormat="true" ht="22.15" hidden="false" customHeight="true" outlineLevel="0" collapsed="false">
      <c r="A315" s="24" t="s">
        <v>627</v>
      </c>
      <c r="B315" s="22" t="n">
        <v>4</v>
      </c>
      <c r="C315" s="21" t="s">
        <v>632</v>
      </c>
      <c r="D315" s="21" t="s">
        <v>633</v>
      </c>
      <c r="E315" s="22" t="s">
        <v>43</v>
      </c>
      <c r="F315" s="23" t="n">
        <v>7</v>
      </c>
      <c r="G315" s="23" t="n">
        <v>7</v>
      </c>
      <c r="H315" s="23" t="n">
        <v>6</v>
      </c>
      <c r="I315" s="23" t="n">
        <v>2</v>
      </c>
      <c r="J315" s="23" t="n">
        <v>0</v>
      </c>
      <c r="K315" s="23" t="n">
        <f aca="false">SUM(F315:J315)</f>
        <v>22</v>
      </c>
      <c r="L315" s="22" t="s">
        <v>44</v>
      </c>
      <c r="M315" s="35"/>
      <c r="N315" s="35"/>
      <c r="O315" s="35"/>
      <c r="P315" s="35"/>
    </row>
    <row r="316" s="35" customFormat="true" ht="22.15" hidden="false" customHeight="true" outlineLevel="0" collapsed="false">
      <c r="A316" s="24" t="s">
        <v>627</v>
      </c>
      <c r="B316" s="22" t="n">
        <v>5</v>
      </c>
      <c r="C316" s="21" t="s">
        <v>634</v>
      </c>
      <c r="D316" s="21" t="s">
        <v>635</v>
      </c>
      <c r="E316" s="22" t="s">
        <v>43</v>
      </c>
      <c r="F316" s="23" t="n">
        <v>6</v>
      </c>
      <c r="G316" s="23" t="n">
        <v>7</v>
      </c>
      <c r="H316" s="23" t="n">
        <v>7</v>
      </c>
      <c r="I316" s="23" t="n">
        <v>1</v>
      </c>
      <c r="J316" s="23" t="n">
        <v>0</v>
      </c>
      <c r="K316" s="23" t="n">
        <f aca="false">SUM(F316:J316)</f>
        <v>21</v>
      </c>
      <c r="L316" s="22" t="s">
        <v>44</v>
      </c>
    </row>
    <row r="317" s="35" customFormat="true" ht="22.15" hidden="false" customHeight="true" outlineLevel="0" collapsed="false">
      <c r="A317" s="24" t="s">
        <v>627</v>
      </c>
      <c r="B317" s="22" t="n">
        <v>6</v>
      </c>
      <c r="C317" s="21" t="s">
        <v>177</v>
      </c>
      <c r="D317" s="21" t="s">
        <v>636</v>
      </c>
      <c r="E317" s="22" t="s">
        <v>43</v>
      </c>
      <c r="F317" s="23" t="n">
        <v>7</v>
      </c>
      <c r="G317" s="23" t="n">
        <v>7</v>
      </c>
      <c r="H317" s="23" t="n">
        <v>7</v>
      </c>
      <c r="I317" s="23" t="n">
        <v>0</v>
      </c>
      <c r="J317" s="23" t="n">
        <v>0</v>
      </c>
      <c r="K317" s="23" t="n">
        <f aca="false">SUM(F317:J317)</f>
        <v>21</v>
      </c>
      <c r="L317" s="22" t="s">
        <v>44</v>
      </c>
    </row>
    <row r="318" s="35" customFormat="true" ht="22.15" hidden="false" customHeight="true" outlineLevel="0" collapsed="false">
      <c r="A318" s="24" t="s">
        <v>627</v>
      </c>
      <c r="B318" s="22" t="n">
        <v>7</v>
      </c>
      <c r="C318" s="21" t="s">
        <v>637</v>
      </c>
      <c r="D318" s="21" t="s">
        <v>638</v>
      </c>
      <c r="E318" s="22" t="s">
        <v>43</v>
      </c>
      <c r="F318" s="23" t="n">
        <v>7</v>
      </c>
      <c r="G318" s="23" t="n">
        <v>7</v>
      </c>
      <c r="H318" s="23" t="n">
        <v>7</v>
      </c>
      <c r="I318" s="23" t="n">
        <v>0</v>
      </c>
      <c r="J318" s="23" t="n">
        <v>0</v>
      </c>
      <c r="K318" s="23" t="n">
        <f aca="false">SUM(F318:J318)</f>
        <v>21</v>
      </c>
      <c r="L318" s="22" t="s">
        <v>44</v>
      </c>
    </row>
    <row r="319" s="35" customFormat="true" ht="22.15" hidden="false" customHeight="true" outlineLevel="0" collapsed="false">
      <c r="A319" s="36" t="s">
        <v>627</v>
      </c>
      <c r="B319" s="27" t="n">
        <v>8</v>
      </c>
      <c r="C319" s="26" t="s">
        <v>639</v>
      </c>
      <c r="D319" s="26" t="s">
        <v>640</v>
      </c>
      <c r="E319" s="27" t="s">
        <v>43</v>
      </c>
      <c r="F319" s="28" t="n">
        <v>7</v>
      </c>
      <c r="G319" s="28" t="n">
        <v>7</v>
      </c>
      <c r="H319" s="28" t="n">
        <v>6</v>
      </c>
      <c r="I319" s="28" t="n">
        <v>0</v>
      </c>
      <c r="J319" s="28" t="n">
        <v>0</v>
      </c>
      <c r="K319" s="28" t="n">
        <f aca="false">SUM(F319:J319)</f>
        <v>20</v>
      </c>
      <c r="L319" s="27" t="s">
        <v>49</v>
      </c>
      <c r="M319" s="29"/>
      <c r="N319" s="29"/>
      <c r="O319" s="29"/>
      <c r="P319" s="29"/>
    </row>
    <row r="320" s="29" customFormat="true" ht="22.15" hidden="false" customHeight="true" outlineLevel="0" collapsed="false">
      <c r="A320" s="36" t="s">
        <v>627</v>
      </c>
      <c r="B320" s="27" t="n">
        <v>9</v>
      </c>
      <c r="C320" s="26" t="s">
        <v>74</v>
      </c>
      <c r="D320" s="26" t="s">
        <v>641</v>
      </c>
      <c r="E320" s="27" t="s">
        <v>43</v>
      </c>
      <c r="F320" s="28" t="n">
        <v>7</v>
      </c>
      <c r="G320" s="28" t="n">
        <v>7</v>
      </c>
      <c r="H320" s="28" t="n">
        <v>0</v>
      </c>
      <c r="I320" s="28" t="n">
        <v>0</v>
      </c>
      <c r="J320" s="28" t="n">
        <v>5</v>
      </c>
      <c r="K320" s="28" t="n">
        <f aca="false">SUM(F320:J320)</f>
        <v>19</v>
      </c>
      <c r="L320" s="27" t="s">
        <v>49</v>
      </c>
    </row>
    <row r="321" s="29" customFormat="true" ht="22.15" hidden="false" customHeight="true" outlineLevel="0" collapsed="false">
      <c r="A321" s="36" t="s">
        <v>627</v>
      </c>
      <c r="B321" s="27" t="n">
        <v>10</v>
      </c>
      <c r="C321" s="26" t="s">
        <v>642</v>
      </c>
      <c r="D321" s="26" t="s">
        <v>643</v>
      </c>
      <c r="E321" s="27" t="s">
        <v>43</v>
      </c>
      <c r="F321" s="28" t="n">
        <v>6</v>
      </c>
      <c r="G321" s="28" t="n">
        <v>7</v>
      </c>
      <c r="H321" s="28" t="n">
        <v>4</v>
      </c>
      <c r="I321" s="28" t="n">
        <v>1</v>
      </c>
      <c r="J321" s="28" t="n">
        <v>0</v>
      </c>
      <c r="K321" s="28" t="n">
        <f aca="false">SUM(F321:J321)</f>
        <v>18</v>
      </c>
      <c r="L321" s="27" t="s">
        <v>49</v>
      </c>
    </row>
    <row r="322" s="29" customFormat="true" ht="22.15" hidden="false" customHeight="true" outlineLevel="0" collapsed="false">
      <c r="A322" s="24" t="s">
        <v>644</v>
      </c>
      <c r="B322" s="22" t="n">
        <v>1</v>
      </c>
      <c r="C322" s="21" t="s">
        <v>645</v>
      </c>
      <c r="D322" s="21" t="s">
        <v>646</v>
      </c>
      <c r="E322" s="22" t="s">
        <v>43</v>
      </c>
      <c r="F322" s="23" t="n">
        <v>7</v>
      </c>
      <c r="G322" s="23" t="n">
        <v>0</v>
      </c>
      <c r="H322" s="23" t="n">
        <v>7</v>
      </c>
      <c r="I322" s="23" t="n">
        <v>0</v>
      </c>
      <c r="J322" s="23" t="n">
        <v>0</v>
      </c>
      <c r="K322" s="23" t="n">
        <f aca="false">SUM(F322:J322)</f>
        <v>14</v>
      </c>
      <c r="L322" s="22" t="s">
        <v>44</v>
      </c>
      <c r="M322" s="24" t="n">
        <f aca="false">SUM(K322:K329)</f>
        <v>70</v>
      </c>
      <c r="N322" s="35" t="n">
        <v>33</v>
      </c>
      <c r="O322" s="35"/>
      <c r="P322" s="35"/>
    </row>
    <row r="323" s="35" customFormat="true" ht="22.15" hidden="false" customHeight="true" outlineLevel="0" collapsed="false">
      <c r="A323" s="24" t="s">
        <v>644</v>
      </c>
      <c r="B323" s="22" t="n">
        <v>2</v>
      </c>
      <c r="C323" s="21" t="s">
        <v>647</v>
      </c>
      <c r="D323" s="21" t="s">
        <v>648</v>
      </c>
      <c r="E323" s="22" t="s">
        <v>43</v>
      </c>
      <c r="F323" s="23" t="n">
        <v>7</v>
      </c>
      <c r="G323" s="23" t="n">
        <v>0</v>
      </c>
      <c r="H323" s="23" t="n">
        <v>7</v>
      </c>
      <c r="I323" s="23" t="n">
        <v>0</v>
      </c>
      <c r="J323" s="23" t="n">
        <v>0</v>
      </c>
      <c r="K323" s="23" t="n">
        <f aca="false">SUM(F323:J323)</f>
        <v>14</v>
      </c>
      <c r="L323" s="22" t="s">
        <v>44</v>
      </c>
    </row>
    <row r="324" s="35" customFormat="true" ht="22.15" hidden="false" customHeight="true" outlineLevel="0" collapsed="false">
      <c r="A324" s="24" t="s">
        <v>644</v>
      </c>
      <c r="B324" s="22" t="n">
        <v>3</v>
      </c>
      <c r="C324" s="21" t="s">
        <v>649</v>
      </c>
      <c r="D324" s="21" t="s">
        <v>650</v>
      </c>
      <c r="E324" s="22" t="s">
        <v>43</v>
      </c>
      <c r="F324" s="23" t="n">
        <v>7</v>
      </c>
      <c r="G324" s="23" t="n">
        <v>0</v>
      </c>
      <c r="H324" s="23" t="n">
        <v>0</v>
      </c>
      <c r="I324" s="23" t="n">
        <v>6</v>
      </c>
      <c r="J324" s="23" t="n">
        <v>0</v>
      </c>
      <c r="K324" s="23" t="n">
        <f aca="false">SUM(F324:J324)</f>
        <v>13</v>
      </c>
      <c r="L324" s="22" t="s">
        <v>44</v>
      </c>
    </row>
    <row r="325" s="35" customFormat="true" ht="22.15" hidden="false" customHeight="true" outlineLevel="0" collapsed="false">
      <c r="A325" s="36" t="s">
        <v>644</v>
      </c>
      <c r="B325" s="27" t="n">
        <v>4</v>
      </c>
      <c r="C325" s="26" t="s">
        <v>651</v>
      </c>
      <c r="D325" s="26" t="s">
        <v>652</v>
      </c>
      <c r="E325" s="27" t="s">
        <v>43</v>
      </c>
      <c r="F325" s="28" t="n">
        <v>7</v>
      </c>
      <c r="G325" s="28" t="n">
        <v>3</v>
      </c>
      <c r="H325" s="28" t="n">
        <v>0</v>
      </c>
      <c r="I325" s="28" t="n">
        <v>0</v>
      </c>
      <c r="J325" s="28" t="n">
        <v>0</v>
      </c>
      <c r="K325" s="28" t="n">
        <f aca="false">SUM(F325:J325)</f>
        <v>10</v>
      </c>
      <c r="L325" s="27" t="s">
        <v>49</v>
      </c>
      <c r="M325" s="29"/>
      <c r="N325" s="29"/>
      <c r="O325" s="29"/>
      <c r="P325" s="29"/>
    </row>
    <row r="326" s="29" customFormat="true" ht="22.15" hidden="false" customHeight="true" outlineLevel="0" collapsed="false">
      <c r="A326" s="36" t="s">
        <v>644</v>
      </c>
      <c r="B326" s="27" t="n">
        <v>5</v>
      </c>
      <c r="C326" s="26" t="s">
        <v>653</v>
      </c>
      <c r="D326" s="26" t="s">
        <v>654</v>
      </c>
      <c r="E326" s="27" t="s">
        <v>43</v>
      </c>
      <c r="F326" s="28" t="n">
        <v>7</v>
      </c>
      <c r="G326" s="28" t="n">
        <v>0</v>
      </c>
      <c r="H326" s="28" t="n">
        <v>0</v>
      </c>
      <c r="I326" s="28" t="n">
        <v>0</v>
      </c>
      <c r="J326" s="28" t="n">
        <v>0</v>
      </c>
      <c r="K326" s="28" t="n">
        <f aca="false">SUM(F326:J326)</f>
        <v>7</v>
      </c>
      <c r="L326" s="27" t="s">
        <v>49</v>
      </c>
    </row>
    <row r="327" s="29" customFormat="true" ht="22.15" hidden="false" customHeight="true" outlineLevel="0" collapsed="false">
      <c r="A327" s="36" t="s">
        <v>644</v>
      </c>
      <c r="B327" s="27" t="n">
        <v>6</v>
      </c>
      <c r="C327" s="26" t="s">
        <v>655</v>
      </c>
      <c r="D327" s="26" t="s">
        <v>656</v>
      </c>
      <c r="E327" s="27" t="s">
        <v>43</v>
      </c>
      <c r="F327" s="28" t="n">
        <v>7</v>
      </c>
      <c r="G327" s="28" t="n">
        <v>0</v>
      </c>
      <c r="H327" s="28" t="n">
        <v>0</v>
      </c>
      <c r="I327" s="28" t="n">
        <v>0</v>
      </c>
      <c r="J327" s="28" t="n">
        <v>0</v>
      </c>
      <c r="K327" s="28" t="n">
        <f aca="false">SUM(F327:J327)</f>
        <v>7</v>
      </c>
      <c r="L327" s="27" t="s">
        <v>49</v>
      </c>
    </row>
    <row r="328" s="29" customFormat="true" ht="22.15" hidden="false" customHeight="true" outlineLevel="0" collapsed="false">
      <c r="A328" s="30" t="s">
        <v>644</v>
      </c>
      <c r="B328" s="4" t="n">
        <v>7</v>
      </c>
      <c r="C328" s="3" t="s">
        <v>657</v>
      </c>
      <c r="D328" s="3" t="s">
        <v>658</v>
      </c>
      <c r="E328" s="4" t="s">
        <v>43</v>
      </c>
      <c r="F328" s="5" t="n">
        <v>2</v>
      </c>
      <c r="G328" s="5" t="n">
        <v>0</v>
      </c>
      <c r="H328" s="5" t="n">
        <v>0</v>
      </c>
      <c r="I328" s="5" t="n">
        <v>0</v>
      </c>
      <c r="J328" s="5" t="n">
        <v>1</v>
      </c>
      <c r="K328" s="5" t="n">
        <f aca="false">SUM(F328:J328)</f>
        <v>3</v>
      </c>
      <c r="L328" s="4"/>
      <c r="M328" s="1"/>
      <c r="N328" s="1"/>
      <c r="O328" s="1"/>
      <c r="P328" s="1"/>
    </row>
    <row r="329" customFormat="false" ht="22.15" hidden="false" customHeight="true" outlineLevel="0" collapsed="false">
      <c r="A329" s="30" t="s">
        <v>644</v>
      </c>
      <c r="B329" s="4" t="n">
        <v>8</v>
      </c>
      <c r="C329" s="3" t="s">
        <v>659</v>
      </c>
      <c r="D329" s="3" t="s">
        <v>660</v>
      </c>
      <c r="E329" s="4" t="s">
        <v>52</v>
      </c>
      <c r="F329" s="5" t="n">
        <v>2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f aca="false">SUM(F329:J329)</f>
        <v>2</v>
      </c>
      <c r="L329" s="4"/>
    </row>
    <row r="330" customFormat="false" ht="22.15" hidden="false" customHeight="true" outlineLevel="0" collapsed="false">
      <c r="A330" s="36" t="s">
        <v>661</v>
      </c>
      <c r="B330" s="27" t="n">
        <v>1</v>
      </c>
      <c r="C330" s="59" t="s">
        <v>662</v>
      </c>
      <c r="D330" s="59" t="s">
        <v>150</v>
      </c>
      <c r="E330" s="27" t="s">
        <v>43</v>
      </c>
      <c r="F330" s="28" t="n">
        <v>7</v>
      </c>
      <c r="G330" s="28" t="n">
        <v>0</v>
      </c>
      <c r="H330" s="28" t="n">
        <v>1</v>
      </c>
      <c r="I330" s="28" t="n">
        <v>0</v>
      </c>
      <c r="J330" s="28" t="n">
        <v>0</v>
      </c>
      <c r="K330" s="28" t="n">
        <f aca="false">SUM(F330:J330)</f>
        <v>8</v>
      </c>
      <c r="L330" s="27" t="s">
        <v>49</v>
      </c>
      <c r="M330" s="36" t="n">
        <f aca="false">SUM(K330:K339)</f>
        <v>69</v>
      </c>
      <c r="N330" s="29" t="n">
        <v>34</v>
      </c>
      <c r="O330" s="29"/>
      <c r="P330" s="29"/>
    </row>
    <row r="331" s="29" customFormat="true" ht="22.15" hidden="false" customHeight="true" outlineLevel="0" collapsed="false">
      <c r="A331" s="36" t="s">
        <v>661</v>
      </c>
      <c r="B331" s="27" t="n">
        <v>2</v>
      </c>
      <c r="C331" s="59" t="s">
        <v>663</v>
      </c>
      <c r="D331" s="59" t="s">
        <v>664</v>
      </c>
      <c r="E331" s="27" t="s">
        <v>43</v>
      </c>
      <c r="F331" s="28" t="n">
        <v>7</v>
      </c>
      <c r="G331" s="28" t="n">
        <v>0</v>
      </c>
      <c r="H331" s="28" t="n">
        <v>0</v>
      </c>
      <c r="I331" s="28" t="n">
        <v>0</v>
      </c>
      <c r="J331" s="28" t="n">
        <v>0</v>
      </c>
      <c r="K331" s="28" t="n">
        <f aca="false">SUM(F331:J331)</f>
        <v>7</v>
      </c>
      <c r="L331" s="27" t="s">
        <v>49</v>
      </c>
    </row>
    <row r="332" s="29" customFormat="true" ht="22.15" hidden="false" customHeight="true" outlineLevel="0" collapsed="false">
      <c r="A332" s="36" t="s">
        <v>661</v>
      </c>
      <c r="B332" s="27" t="n">
        <v>3</v>
      </c>
      <c r="C332" s="59" t="s">
        <v>665</v>
      </c>
      <c r="D332" s="59" t="s">
        <v>666</v>
      </c>
      <c r="E332" s="27" t="s">
        <v>43</v>
      </c>
      <c r="F332" s="28" t="n">
        <v>7</v>
      </c>
      <c r="G332" s="28" t="n">
        <v>0</v>
      </c>
      <c r="H332" s="28" t="n">
        <v>0</v>
      </c>
      <c r="I332" s="28" t="n">
        <v>0</v>
      </c>
      <c r="J332" s="28" t="n">
        <v>0</v>
      </c>
      <c r="K332" s="28" t="n">
        <f aca="false">SUM(F332:J332)</f>
        <v>7</v>
      </c>
      <c r="L332" s="27" t="s">
        <v>49</v>
      </c>
    </row>
    <row r="333" s="29" customFormat="true" ht="22.15" hidden="false" customHeight="true" outlineLevel="0" collapsed="false">
      <c r="A333" s="36" t="s">
        <v>661</v>
      </c>
      <c r="B333" s="27" t="n">
        <v>4</v>
      </c>
      <c r="C333" s="59" t="s">
        <v>667</v>
      </c>
      <c r="D333" s="59" t="s">
        <v>668</v>
      </c>
      <c r="E333" s="27" t="s">
        <v>43</v>
      </c>
      <c r="F333" s="28" t="n">
        <v>7</v>
      </c>
      <c r="G333" s="28" t="n">
        <v>0</v>
      </c>
      <c r="H333" s="28" t="n">
        <v>0</v>
      </c>
      <c r="I333" s="28" t="n">
        <v>0</v>
      </c>
      <c r="J333" s="28" t="n">
        <v>0</v>
      </c>
      <c r="K333" s="28" t="n">
        <f aca="false">SUM(F333:J333)</f>
        <v>7</v>
      </c>
      <c r="L333" s="27" t="s">
        <v>49</v>
      </c>
    </row>
    <row r="334" s="29" customFormat="true" ht="22.15" hidden="false" customHeight="true" outlineLevel="0" collapsed="false">
      <c r="A334" s="36" t="s">
        <v>661</v>
      </c>
      <c r="B334" s="27" t="n">
        <v>5</v>
      </c>
      <c r="C334" s="59" t="s">
        <v>669</v>
      </c>
      <c r="D334" s="59" t="s">
        <v>212</v>
      </c>
      <c r="E334" s="27" t="s">
        <v>52</v>
      </c>
      <c r="F334" s="28" t="n">
        <v>7</v>
      </c>
      <c r="G334" s="28" t="n">
        <v>0</v>
      </c>
      <c r="H334" s="28" t="n">
        <v>0</v>
      </c>
      <c r="I334" s="28" t="n">
        <v>0</v>
      </c>
      <c r="J334" s="28" t="n">
        <v>0</v>
      </c>
      <c r="K334" s="28" t="n">
        <f aca="false">SUM(F334:J334)</f>
        <v>7</v>
      </c>
      <c r="L334" s="27" t="s">
        <v>49</v>
      </c>
    </row>
    <row r="335" s="29" customFormat="true" ht="22.15" hidden="false" customHeight="true" outlineLevel="0" collapsed="false">
      <c r="A335" s="36" t="s">
        <v>661</v>
      </c>
      <c r="B335" s="27" t="n">
        <v>6</v>
      </c>
      <c r="C335" s="26" t="s">
        <v>670</v>
      </c>
      <c r="D335" s="26" t="s">
        <v>671</v>
      </c>
      <c r="E335" s="27" t="s">
        <v>43</v>
      </c>
      <c r="F335" s="28" t="n">
        <v>7</v>
      </c>
      <c r="G335" s="28" t="n">
        <v>0</v>
      </c>
      <c r="H335" s="28" t="n">
        <v>0</v>
      </c>
      <c r="I335" s="28" t="n">
        <v>0</v>
      </c>
      <c r="J335" s="28" t="n">
        <v>0</v>
      </c>
      <c r="K335" s="28" t="n">
        <f aca="false">SUM(F335:J335)</f>
        <v>7</v>
      </c>
      <c r="L335" s="27" t="s">
        <v>49</v>
      </c>
    </row>
    <row r="336" s="29" customFormat="true" ht="22.15" hidden="false" customHeight="true" outlineLevel="0" collapsed="false">
      <c r="A336" s="36" t="s">
        <v>661</v>
      </c>
      <c r="B336" s="27" t="n">
        <v>7</v>
      </c>
      <c r="C336" s="59" t="s">
        <v>672</v>
      </c>
      <c r="D336" s="59" t="s">
        <v>673</v>
      </c>
      <c r="E336" s="27" t="s">
        <v>43</v>
      </c>
      <c r="F336" s="28" t="n">
        <v>7</v>
      </c>
      <c r="G336" s="28" t="n">
        <v>0</v>
      </c>
      <c r="H336" s="28" t="n">
        <v>0</v>
      </c>
      <c r="I336" s="28" t="n">
        <v>0</v>
      </c>
      <c r="J336" s="28" t="n">
        <v>0</v>
      </c>
      <c r="K336" s="28" t="n">
        <f aca="false">SUM(F336:J336)</f>
        <v>7</v>
      </c>
      <c r="L336" s="27" t="s">
        <v>49</v>
      </c>
    </row>
    <row r="337" s="29" customFormat="true" ht="22.15" hidden="false" customHeight="true" outlineLevel="0" collapsed="false">
      <c r="A337" s="36" t="s">
        <v>661</v>
      </c>
      <c r="B337" s="27" t="n">
        <v>8</v>
      </c>
      <c r="C337" s="59" t="s">
        <v>674</v>
      </c>
      <c r="D337" s="59" t="s">
        <v>675</v>
      </c>
      <c r="E337" s="27" t="s">
        <v>43</v>
      </c>
      <c r="F337" s="28" t="n">
        <v>7</v>
      </c>
      <c r="G337" s="28" t="n">
        <v>0</v>
      </c>
      <c r="H337" s="28" t="n">
        <v>0</v>
      </c>
      <c r="I337" s="28" t="n">
        <v>0</v>
      </c>
      <c r="J337" s="28" t="n">
        <v>0</v>
      </c>
      <c r="K337" s="28" t="n">
        <f aca="false">SUM(F337:J337)</f>
        <v>7</v>
      </c>
      <c r="L337" s="27" t="s">
        <v>49</v>
      </c>
    </row>
    <row r="338" s="29" customFormat="true" ht="22.15" hidden="false" customHeight="true" outlineLevel="0" collapsed="false">
      <c r="A338" s="30" t="s">
        <v>661</v>
      </c>
      <c r="B338" s="4" t="n">
        <v>9</v>
      </c>
      <c r="C338" s="84" t="s">
        <v>676</v>
      </c>
      <c r="D338" s="84" t="s">
        <v>677</v>
      </c>
      <c r="E338" s="4" t="s">
        <v>43</v>
      </c>
      <c r="F338" s="5" t="n">
        <v>6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f aca="false">SUM(F338:J338)</f>
        <v>6</v>
      </c>
      <c r="L338" s="4"/>
      <c r="M338" s="1"/>
      <c r="N338" s="1"/>
      <c r="O338" s="1"/>
      <c r="P338" s="1"/>
    </row>
    <row r="339" customFormat="false" ht="22.15" hidden="false" customHeight="true" outlineLevel="0" collapsed="false">
      <c r="A339" s="30" t="s">
        <v>661</v>
      </c>
      <c r="B339" s="4" t="n">
        <v>10</v>
      </c>
      <c r="C339" s="3" t="s">
        <v>678</v>
      </c>
      <c r="D339" s="3" t="s">
        <v>679</v>
      </c>
      <c r="E339" s="4" t="s">
        <v>43</v>
      </c>
      <c r="F339" s="5" t="n">
        <v>6</v>
      </c>
      <c r="G339" s="5" t="n">
        <v>0</v>
      </c>
      <c r="H339" s="5" t="n">
        <v>0</v>
      </c>
      <c r="I339" s="5" t="n">
        <v>0</v>
      </c>
      <c r="J339" s="5" t="n">
        <v>0</v>
      </c>
      <c r="K339" s="5" t="n">
        <f aca="false">SUM(F339:J339)</f>
        <v>6</v>
      </c>
      <c r="L339" s="4"/>
    </row>
    <row r="340" customFormat="false" ht="22.15" hidden="false" customHeight="true" outlineLevel="0" collapsed="false">
      <c r="A340" s="37" t="s">
        <v>680</v>
      </c>
      <c r="B340" s="12" t="n">
        <v>1</v>
      </c>
      <c r="C340" s="11" t="s">
        <v>681</v>
      </c>
      <c r="D340" s="11" t="s">
        <v>682</v>
      </c>
      <c r="E340" s="12" t="s">
        <v>43</v>
      </c>
      <c r="F340" s="13" t="n">
        <v>7</v>
      </c>
      <c r="G340" s="13" t="n">
        <v>7</v>
      </c>
      <c r="H340" s="13" t="n">
        <v>4</v>
      </c>
      <c r="I340" s="13" t="n">
        <v>0</v>
      </c>
      <c r="J340" s="13" t="n">
        <v>7</v>
      </c>
      <c r="K340" s="13" t="n">
        <f aca="false">SUM(F340:J340)</f>
        <v>25</v>
      </c>
      <c r="L340" s="12" t="s">
        <v>68</v>
      </c>
      <c r="M340" s="37" t="n">
        <f aca="false">SUM(K340:K349)</f>
        <v>191</v>
      </c>
      <c r="N340" s="14" t="n">
        <v>9</v>
      </c>
      <c r="O340" s="14"/>
      <c r="P340" s="14"/>
    </row>
    <row r="341" s="14" customFormat="true" ht="22.15" hidden="false" customHeight="true" outlineLevel="0" collapsed="false">
      <c r="A341" s="38" t="s">
        <v>680</v>
      </c>
      <c r="B341" s="17" t="n">
        <v>2</v>
      </c>
      <c r="C341" s="16" t="s">
        <v>683</v>
      </c>
      <c r="D341" s="16" t="s">
        <v>684</v>
      </c>
      <c r="E341" s="17" t="s">
        <v>43</v>
      </c>
      <c r="F341" s="18" t="n">
        <v>7</v>
      </c>
      <c r="G341" s="18" t="n">
        <v>7</v>
      </c>
      <c r="H341" s="18" t="n">
        <v>7</v>
      </c>
      <c r="I341" s="18" t="n">
        <v>0</v>
      </c>
      <c r="J341" s="18" t="n">
        <v>0</v>
      </c>
      <c r="K341" s="18" t="n">
        <f aca="false">SUM(F341:J341)</f>
        <v>21</v>
      </c>
      <c r="L341" s="17" t="s">
        <v>71</v>
      </c>
      <c r="M341" s="19"/>
      <c r="N341" s="19"/>
      <c r="O341" s="19"/>
      <c r="P341" s="19"/>
    </row>
    <row r="342" s="19" customFormat="true" ht="22.15" hidden="false" customHeight="true" outlineLevel="0" collapsed="false">
      <c r="A342" s="38" t="s">
        <v>680</v>
      </c>
      <c r="B342" s="17" t="n">
        <v>3</v>
      </c>
      <c r="C342" s="16" t="s">
        <v>685</v>
      </c>
      <c r="D342" s="16" t="s">
        <v>686</v>
      </c>
      <c r="E342" s="17" t="s">
        <v>43</v>
      </c>
      <c r="F342" s="18" t="n">
        <v>7</v>
      </c>
      <c r="G342" s="18" t="n">
        <v>0</v>
      </c>
      <c r="H342" s="18" t="n">
        <v>7</v>
      </c>
      <c r="I342" s="18" t="n">
        <v>0</v>
      </c>
      <c r="J342" s="18" t="n">
        <v>7</v>
      </c>
      <c r="K342" s="18" t="n">
        <f aca="false">SUM(F342:J342)</f>
        <v>21</v>
      </c>
      <c r="L342" s="17" t="s">
        <v>71</v>
      </c>
    </row>
    <row r="343" s="19" customFormat="true" ht="22.15" hidden="false" customHeight="true" outlineLevel="0" collapsed="false">
      <c r="A343" s="24" t="s">
        <v>680</v>
      </c>
      <c r="B343" s="22" t="n">
        <v>4</v>
      </c>
      <c r="C343" s="21" t="s">
        <v>687</v>
      </c>
      <c r="D343" s="21" t="s">
        <v>688</v>
      </c>
      <c r="E343" s="22" t="s">
        <v>43</v>
      </c>
      <c r="F343" s="23" t="n">
        <v>7</v>
      </c>
      <c r="G343" s="23" t="n">
        <v>7</v>
      </c>
      <c r="H343" s="23" t="n">
        <v>6</v>
      </c>
      <c r="I343" s="23" t="n">
        <v>0</v>
      </c>
      <c r="J343" s="23" t="n">
        <v>0</v>
      </c>
      <c r="K343" s="23" t="n">
        <f aca="false">SUM(F343:J343)</f>
        <v>20</v>
      </c>
      <c r="L343" s="22" t="s">
        <v>44</v>
      </c>
      <c r="M343" s="35"/>
      <c r="N343" s="35"/>
      <c r="O343" s="35"/>
      <c r="P343" s="35"/>
    </row>
    <row r="344" s="35" customFormat="true" ht="22.15" hidden="false" customHeight="true" outlineLevel="0" collapsed="false">
      <c r="A344" s="24" t="s">
        <v>680</v>
      </c>
      <c r="B344" s="22" t="n">
        <v>5</v>
      </c>
      <c r="C344" s="21" t="s">
        <v>689</v>
      </c>
      <c r="D344" s="21" t="s">
        <v>690</v>
      </c>
      <c r="E344" s="22" t="s">
        <v>43</v>
      </c>
      <c r="F344" s="23" t="n">
        <v>6</v>
      </c>
      <c r="G344" s="23" t="n">
        <v>7</v>
      </c>
      <c r="H344" s="23" t="n">
        <v>6</v>
      </c>
      <c r="I344" s="23" t="n">
        <v>0</v>
      </c>
      <c r="J344" s="23" t="n">
        <v>0</v>
      </c>
      <c r="K344" s="23" t="n">
        <f aca="false">SUM(F344:J344)</f>
        <v>19</v>
      </c>
      <c r="L344" s="22" t="s">
        <v>44</v>
      </c>
    </row>
    <row r="345" s="35" customFormat="true" ht="22.15" hidden="false" customHeight="true" outlineLevel="0" collapsed="false">
      <c r="A345" s="24" t="s">
        <v>680</v>
      </c>
      <c r="B345" s="22" t="n">
        <v>6</v>
      </c>
      <c r="C345" s="21" t="s">
        <v>691</v>
      </c>
      <c r="D345" s="21" t="s">
        <v>692</v>
      </c>
      <c r="E345" s="22" t="s">
        <v>43</v>
      </c>
      <c r="F345" s="23" t="n">
        <v>7</v>
      </c>
      <c r="G345" s="23" t="n">
        <v>7</v>
      </c>
      <c r="H345" s="23" t="n">
        <v>2</v>
      </c>
      <c r="I345" s="23" t="n">
        <v>0</v>
      </c>
      <c r="J345" s="23" t="n">
        <v>2</v>
      </c>
      <c r="K345" s="23" t="n">
        <f aca="false">SUM(F345:J345)</f>
        <v>18</v>
      </c>
      <c r="L345" s="22" t="s">
        <v>44</v>
      </c>
    </row>
    <row r="346" s="35" customFormat="true" ht="22.15" hidden="false" customHeight="true" outlineLevel="0" collapsed="false">
      <c r="A346" s="24" t="s">
        <v>680</v>
      </c>
      <c r="B346" s="22" t="n">
        <v>7</v>
      </c>
      <c r="C346" s="21" t="s">
        <v>693</v>
      </c>
      <c r="D346" s="21" t="s">
        <v>694</v>
      </c>
      <c r="E346" s="22" t="s">
        <v>43</v>
      </c>
      <c r="F346" s="23" t="n">
        <v>7</v>
      </c>
      <c r="G346" s="23" t="n">
        <v>7</v>
      </c>
      <c r="H346" s="23" t="n">
        <v>0</v>
      </c>
      <c r="I346" s="23" t="n">
        <v>1</v>
      </c>
      <c r="J346" s="23" t="n">
        <v>2</v>
      </c>
      <c r="K346" s="23" t="n">
        <f aca="false">SUM(F346:J346)</f>
        <v>17</v>
      </c>
      <c r="L346" s="22" t="s">
        <v>44</v>
      </c>
    </row>
    <row r="347" s="35" customFormat="true" ht="22.15" hidden="false" customHeight="true" outlineLevel="0" collapsed="false">
      <c r="A347" s="36" t="s">
        <v>680</v>
      </c>
      <c r="B347" s="27" t="n">
        <v>8</v>
      </c>
      <c r="C347" s="26" t="s">
        <v>695</v>
      </c>
      <c r="D347" s="26" t="s">
        <v>696</v>
      </c>
      <c r="E347" s="27" t="s">
        <v>43</v>
      </c>
      <c r="F347" s="28" t="n">
        <v>7</v>
      </c>
      <c r="G347" s="28" t="n">
        <v>0</v>
      </c>
      <c r="H347" s="28" t="n">
        <v>7</v>
      </c>
      <c r="I347" s="28" t="n">
        <v>3</v>
      </c>
      <c r="J347" s="28" t="n">
        <v>0</v>
      </c>
      <c r="K347" s="28" t="n">
        <f aca="false">SUM(F347:J347)</f>
        <v>17</v>
      </c>
      <c r="L347" s="27" t="s">
        <v>49</v>
      </c>
      <c r="M347" s="29"/>
      <c r="N347" s="29"/>
      <c r="O347" s="29"/>
      <c r="P347" s="29"/>
    </row>
    <row r="348" s="29" customFormat="true" ht="22.15" hidden="false" customHeight="true" outlineLevel="0" collapsed="false">
      <c r="A348" s="36" t="s">
        <v>680</v>
      </c>
      <c r="B348" s="27" t="n">
        <v>9</v>
      </c>
      <c r="C348" s="26" t="s">
        <v>689</v>
      </c>
      <c r="D348" s="26" t="s">
        <v>697</v>
      </c>
      <c r="E348" s="27" t="s">
        <v>43</v>
      </c>
      <c r="F348" s="28" t="n">
        <v>7</v>
      </c>
      <c r="G348" s="28" t="n">
        <v>0</v>
      </c>
      <c r="H348" s="28" t="n">
        <v>3</v>
      </c>
      <c r="I348" s="28" t="n">
        <v>0</v>
      </c>
      <c r="J348" s="28" t="n">
        <v>7</v>
      </c>
      <c r="K348" s="28" t="n">
        <f aca="false">SUM(F348:J348)</f>
        <v>17</v>
      </c>
      <c r="L348" s="27" t="s">
        <v>49</v>
      </c>
    </row>
    <row r="349" s="29" customFormat="true" ht="22.15" hidden="false" customHeight="true" outlineLevel="0" collapsed="false">
      <c r="A349" s="36" t="s">
        <v>680</v>
      </c>
      <c r="B349" s="56" t="n">
        <v>10</v>
      </c>
      <c r="C349" s="52" t="s">
        <v>417</v>
      </c>
      <c r="D349" s="52" t="s">
        <v>698</v>
      </c>
      <c r="E349" s="27" t="s">
        <v>43</v>
      </c>
      <c r="F349" s="53" t="n">
        <v>7</v>
      </c>
      <c r="G349" s="53" t="n">
        <v>0</v>
      </c>
      <c r="H349" s="53" t="n">
        <v>2</v>
      </c>
      <c r="I349" s="53" t="n">
        <v>7</v>
      </c>
      <c r="J349" s="53" t="n">
        <v>0</v>
      </c>
      <c r="K349" s="53" t="n">
        <f aca="false">SUM(F349:J349)</f>
        <v>16</v>
      </c>
      <c r="L349" s="27" t="s">
        <v>49</v>
      </c>
    </row>
    <row r="350" s="29" customFormat="true" ht="22.15" hidden="false" customHeight="true" outlineLevel="0" collapsed="false">
      <c r="A350" s="37" t="s">
        <v>699</v>
      </c>
      <c r="B350" s="12" t="n">
        <v>1</v>
      </c>
      <c r="C350" s="11" t="s">
        <v>700</v>
      </c>
      <c r="D350" s="11" t="s">
        <v>701</v>
      </c>
      <c r="E350" s="12" t="s">
        <v>43</v>
      </c>
      <c r="F350" s="13" t="n">
        <v>7</v>
      </c>
      <c r="G350" s="13" t="n">
        <v>7</v>
      </c>
      <c r="H350" s="13" t="n">
        <v>7</v>
      </c>
      <c r="I350" s="13" t="n">
        <v>3</v>
      </c>
      <c r="J350" s="13" t="n">
        <v>0</v>
      </c>
      <c r="K350" s="13" t="n">
        <f aca="false">SUM(F350:J350)</f>
        <v>24</v>
      </c>
      <c r="L350" s="12" t="s">
        <v>68</v>
      </c>
      <c r="M350" s="37" t="n">
        <f aca="false">SUM(K350:K359)</f>
        <v>118</v>
      </c>
      <c r="N350" s="14" t="n">
        <v>19</v>
      </c>
      <c r="O350" s="14"/>
      <c r="P350" s="14"/>
    </row>
    <row r="351" s="14" customFormat="true" ht="22.15" hidden="false" customHeight="true" outlineLevel="0" collapsed="false">
      <c r="A351" s="38" t="s">
        <v>699</v>
      </c>
      <c r="B351" s="17" t="n">
        <v>2</v>
      </c>
      <c r="C351" s="16" t="s">
        <v>702</v>
      </c>
      <c r="D351" s="16" t="s">
        <v>703</v>
      </c>
      <c r="E351" s="17" t="s">
        <v>43</v>
      </c>
      <c r="F351" s="18" t="n">
        <v>7</v>
      </c>
      <c r="G351" s="18" t="n">
        <v>7</v>
      </c>
      <c r="H351" s="18" t="n">
        <v>2</v>
      </c>
      <c r="I351" s="18" t="n">
        <v>7</v>
      </c>
      <c r="J351" s="18" t="n">
        <v>0</v>
      </c>
      <c r="K351" s="18" t="n">
        <f aca="false">SUM(F351:J351)</f>
        <v>23</v>
      </c>
      <c r="L351" s="17" t="s">
        <v>71</v>
      </c>
      <c r="M351" s="19"/>
      <c r="N351" s="19"/>
      <c r="O351" s="19"/>
      <c r="P351" s="19"/>
    </row>
    <row r="352" s="19" customFormat="true" ht="22.15" hidden="false" customHeight="true" outlineLevel="0" collapsed="false">
      <c r="A352" s="24" t="s">
        <v>699</v>
      </c>
      <c r="B352" s="22" t="n">
        <v>3</v>
      </c>
      <c r="C352" s="21" t="s">
        <v>704</v>
      </c>
      <c r="D352" s="21" t="s">
        <v>705</v>
      </c>
      <c r="E352" s="22" t="s">
        <v>43</v>
      </c>
      <c r="F352" s="23" t="n">
        <v>7</v>
      </c>
      <c r="G352" s="23" t="n">
        <v>7</v>
      </c>
      <c r="H352" s="23" t="n">
        <v>1</v>
      </c>
      <c r="I352" s="23" t="n">
        <v>1</v>
      </c>
      <c r="J352" s="23" t="n">
        <v>0</v>
      </c>
      <c r="K352" s="23" t="n">
        <f aca="false">SUM(F352:J352)</f>
        <v>16</v>
      </c>
      <c r="L352" s="22" t="s">
        <v>44</v>
      </c>
      <c r="M352" s="35"/>
      <c r="N352" s="35"/>
      <c r="O352" s="35"/>
      <c r="P352" s="35"/>
    </row>
    <row r="353" s="35" customFormat="true" ht="22.15" hidden="false" customHeight="true" outlineLevel="0" collapsed="false">
      <c r="A353" s="36" t="s">
        <v>699</v>
      </c>
      <c r="B353" s="27" t="n">
        <v>4</v>
      </c>
      <c r="C353" s="26" t="s">
        <v>706</v>
      </c>
      <c r="D353" s="26" t="s">
        <v>707</v>
      </c>
      <c r="E353" s="27" t="s">
        <v>43</v>
      </c>
      <c r="F353" s="28" t="n">
        <v>7</v>
      </c>
      <c r="G353" s="28" t="n">
        <v>0</v>
      </c>
      <c r="H353" s="28" t="n">
        <v>3</v>
      </c>
      <c r="I353" s="28" t="n">
        <v>0</v>
      </c>
      <c r="J353" s="28" t="n">
        <v>0</v>
      </c>
      <c r="K353" s="28" t="n">
        <f aca="false">SUM(F353:J353)</f>
        <v>10</v>
      </c>
      <c r="L353" s="27" t="s">
        <v>49</v>
      </c>
      <c r="M353" s="29"/>
      <c r="N353" s="29"/>
      <c r="O353" s="29"/>
      <c r="P353" s="29"/>
    </row>
    <row r="354" s="29" customFormat="true" ht="22.15" hidden="false" customHeight="true" outlineLevel="0" collapsed="false">
      <c r="A354" s="36" t="s">
        <v>699</v>
      </c>
      <c r="B354" s="27" t="n">
        <v>5</v>
      </c>
      <c r="C354" s="26" t="s">
        <v>708</v>
      </c>
      <c r="D354" s="26" t="s">
        <v>709</v>
      </c>
      <c r="E354" s="27" t="s">
        <v>43</v>
      </c>
      <c r="F354" s="28" t="n">
        <v>7</v>
      </c>
      <c r="G354" s="28" t="n">
        <v>0</v>
      </c>
      <c r="H354" s="28" t="n">
        <v>3</v>
      </c>
      <c r="I354" s="28" t="n">
        <v>0</v>
      </c>
      <c r="J354" s="28" t="n">
        <v>0</v>
      </c>
      <c r="K354" s="28" t="n">
        <f aca="false">SUM(F354:J354)</f>
        <v>10</v>
      </c>
      <c r="L354" s="27" t="s">
        <v>49</v>
      </c>
    </row>
    <row r="355" s="29" customFormat="true" ht="22.15" hidden="false" customHeight="true" outlineLevel="0" collapsed="false">
      <c r="A355" s="36" t="s">
        <v>699</v>
      </c>
      <c r="B355" s="27" t="n">
        <v>6</v>
      </c>
      <c r="C355" s="26" t="s">
        <v>710</v>
      </c>
      <c r="D355" s="26" t="s">
        <v>711</v>
      </c>
      <c r="E355" s="27" t="s">
        <v>43</v>
      </c>
      <c r="F355" s="28" t="n">
        <v>7</v>
      </c>
      <c r="G355" s="28" t="n">
        <v>0</v>
      </c>
      <c r="H355" s="28" t="n">
        <v>0</v>
      </c>
      <c r="I355" s="28" t="n">
        <v>0</v>
      </c>
      <c r="J355" s="28" t="n">
        <v>0</v>
      </c>
      <c r="K355" s="28" t="n">
        <f aca="false">SUM(F355:J355)</f>
        <v>7</v>
      </c>
      <c r="L355" s="27" t="s">
        <v>49</v>
      </c>
    </row>
    <row r="356" s="29" customFormat="true" ht="22.15" hidden="false" customHeight="true" outlineLevel="0" collapsed="false">
      <c r="A356" s="36" t="s">
        <v>699</v>
      </c>
      <c r="B356" s="27" t="n">
        <v>7</v>
      </c>
      <c r="C356" s="26" t="s">
        <v>712</v>
      </c>
      <c r="D356" s="26" t="s">
        <v>713</v>
      </c>
      <c r="E356" s="27" t="s">
        <v>43</v>
      </c>
      <c r="F356" s="28" t="n">
        <v>7</v>
      </c>
      <c r="G356" s="28" t="n">
        <v>0</v>
      </c>
      <c r="H356" s="28" t="n">
        <v>0</v>
      </c>
      <c r="I356" s="28" t="n">
        <v>0</v>
      </c>
      <c r="J356" s="28" t="n">
        <v>0</v>
      </c>
      <c r="K356" s="28" t="n">
        <f aca="false">SUM(F356:J356)</f>
        <v>7</v>
      </c>
      <c r="L356" s="27" t="s">
        <v>49</v>
      </c>
    </row>
    <row r="357" s="29" customFormat="true" ht="22.15" hidden="false" customHeight="true" outlineLevel="0" collapsed="false">
      <c r="A357" s="36" t="s">
        <v>699</v>
      </c>
      <c r="B357" s="27" t="n">
        <v>8</v>
      </c>
      <c r="C357" s="26" t="s">
        <v>714</v>
      </c>
      <c r="D357" s="26" t="s">
        <v>715</v>
      </c>
      <c r="E357" s="27" t="s">
        <v>43</v>
      </c>
      <c r="F357" s="28" t="n">
        <v>7</v>
      </c>
      <c r="G357" s="28" t="n">
        <v>0</v>
      </c>
      <c r="H357" s="28" t="n">
        <v>0</v>
      </c>
      <c r="I357" s="28" t="n">
        <v>0</v>
      </c>
      <c r="J357" s="28" t="n">
        <v>0</v>
      </c>
      <c r="K357" s="28" t="n">
        <f aca="false">SUM(F357:J357)</f>
        <v>7</v>
      </c>
      <c r="L357" s="27" t="s">
        <v>49</v>
      </c>
    </row>
    <row r="358" s="29" customFormat="true" ht="22.15" hidden="false" customHeight="true" outlineLevel="0" collapsed="false">
      <c r="A358" s="36" t="s">
        <v>699</v>
      </c>
      <c r="B358" s="27" t="n">
        <v>9</v>
      </c>
      <c r="C358" s="26" t="s">
        <v>716</v>
      </c>
      <c r="D358" s="26" t="s">
        <v>717</v>
      </c>
      <c r="E358" s="27" t="s">
        <v>43</v>
      </c>
      <c r="F358" s="28" t="n">
        <v>7</v>
      </c>
      <c r="G358" s="28" t="n">
        <v>0</v>
      </c>
      <c r="H358" s="28" t="n">
        <v>0</v>
      </c>
      <c r="I358" s="28" t="n">
        <v>0</v>
      </c>
      <c r="J358" s="28" t="n">
        <v>0</v>
      </c>
      <c r="K358" s="28" t="n">
        <f aca="false">SUM(F358:J358)</f>
        <v>7</v>
      </c>
      <c r="L358" s="27" t="s">
        <v>49</v>
      </c>
    </row>
    <row r="359" s="29" customFormat="true" ht="22.15" hidden="false" customHeight="true" outlineLevel="0" collapsed="false">
      <c r="A359" s="36" t="s">
        <v>699</v>
      </c>
      <c r="B359" s="56" t="n">
        <v>10</v>
      </c>
      <c r="C359" s="52" t="s">
        <v>718</v>
      </c>
      <c r="D359" s="52" t="s">
        <v>719</v>
      </c>
      <c r="E359" s="27" t="s">
        <v>43</v>
      </c>
      <c r="F359" s="53" t="n">
        <v>7</v>
      </c>
      <c r="G359" s="53" t="n">
        <v>0</v>
      </c>
      <c r="H359" s="53" t="n">
        <v>0</v>
      </c>
      <c r="I359" s="53" t="n">
        <v>0</v>
      </c>
      <c r="J359" s="53" t="n">
        <v>0</v>
      </c>
      <c r="K359" s="53" t="n">
        <f aca="false">SUM(F359:J359)</f>
        <v>7</v>
      </c>
      <c r="L359" s="27" t="s">
        <v>49</v>
      </c>
    </row>
    <row r="360" s="29" customFormat="true" ht="22.15" hidden="false" customHeight="true" outlineLevel="0" collapsed="false">
      <c r="A360" s="37" t="s">
        <v>720</v>
      </c>
      <c r="B360" s="85" t="n">
        <v>1</v>
      </c>
      <c r="C360" s="86" t="s">
        <v>721</v>
      </c>
      <c r="D360" s="86" t="s">
        <v>722</v>
      </c>
      <c r="E360" s="85" t="s">
        <v>43</v>
      </c>
      <c r="F360" s="87" t="n">
        <v>5</v>
      </c>
      <c r="G360" s="87" t="n">
        <v>7</v>
      </c>
      <c r="H360" s="87" t="n">
        <v>6</v>
      </c>
      <c r="I360" s="87" t="n">
        <v>7</v>
      </c>
      <c r="J360" s="87" t="n">
        <v>0</v>
      </c>
      <c r="K360" s="88" t="n">
        <f aca="false">SUM(F360:J360)</f>
        <v>25</v>
      </c>
      <c r="L360" s="12" t="s">
        <v>68</v>
      </c>
      <c r="M360" s="14" t="n">
        <f aca="false">SUM(K360:K369)</f>
        <v>160</v>
      </c>
      <c r="N360" s="14" t="n">
        <v>15</v>
      </c>
      <c r="O360" s="14"/>
      <c r="P360" s="14"/>
    </row>
    <row r="361" s="14" customFormat="true" ht="22.15" hidden="false" customHeight="true" outlineLevel="0" collapsed="false">
      <c r="A361" s="38" t="s">
        <v>720</v>
      </c>
      <c r="B361" s="89" t="n">
        <v>2</v>
      </c>
      <c r="C361" s="40" t="s">
        <v>723</v>
      </c>
      <c r="D361" s="40" t="s">
        <v>724</v>
      </c>
      <c r="E361" s="89" t="s">
        <v>43</v>
      </c>
      <c r="F361" s="90" t="n">
        <v>7</v>
      </c>
      <c r="G361" s="90" t="n">
        <v>7</v>
      </c>
      <c r="H361" s="90" t="n">
        <v>2</v>
      </c>
      <c r="I361" s="91" t="n">
        <v>7</v>
      </c>
      <c r="J361" s="90" t="n">
        <v>0</v>
      </c>
      <c r="K361" s="92" t="n">
        <f aca="false">SUM(F361:J361)</f>
        <v>23</v>
      </c>
      <c r="L361" s="17" t="s">
        <v>71</v>
      </c>
      <c r="M361" s="19"/>
      <c r="N361" s="19"/>
      <c r="O361" s="19"/>
      <c r="P361" s="19"/>
    </row>
    <row r="362" s="19" customFormat="true" ht="22.15" hidden="false" customHeight="true" outlineLevel="0" collapsed="false">
      <c r="A362" s="38" t="s">
        <v>720</v>
      </c>
      <c r="B362" s="89" t="n">
        <v>3</v>
      </c>
      <c r="C362" s="93" t="s">
        <v>725</v>
      </c>
      <c r="D362" s="93" t="s">
        <v>726</v>
      </c>
      <c r="E362" s="89" t="s">
        <v>43</v>
      </c>
      <c r="F362" s="90" t="n">
        <v>7</v>
      </c>
      <c r="G362" s="90" t="n">
        <v>0</v>
      </c>
      <c r="H362" s="90" t="n">
        <v>4</v>
      </c>
      <c r="I362" s="90" t="n">
        <v>7</v>
      </c>
      <c r="J362" s="90" t="n">
        <v>0</v>
      </c>
      <c r="K362" s="92" t="n">
        <f aca="false">SUM(F362:J362)</f>
        <v>18</v>
      </c>
      <c r="L362" s="17" t="s">
        <v>71</v>
      </c>
    </row>
    <row r="363" s="19" customFormat="true" ht="22.15" hidden="false" customHeight="true" outlineLevel="0" collapsed="false">
      <c r="A363" s="24" t="s">
        <v>720</v>
      </c>
      <c r="B363" s="94" t="n">
        <v>4</v>
      </c>
      <c r="C363" s="95" t="s">
        <v>256</v>
      </c>
      <c r="D363" s="95" t="s">
        <v>727</v>
      </c>
      <c r="E363" s="94" t="s">
        <v>43</v>
      </c>
      <c r="F363" s="96" t="n">
        <v>7</v>
      </c>
      <c r="G363" s="96" t="n">
        <v>0</v>
      </c>
      <c r="H363" s="96" t="n">
        <v>7</v>
      </c>
      <c r="I363" s="96" t="n">
        <v>0</v>
      </c>
      <c r="J363" s="96" t="n">
        <v>0</v>
      </c>
      <c r="K363" s="97" t="n">
        <f aca="false">SUM(F363:J363)</f>
        <v>14</v>
      </c>
      <c r="L363" s="22" t="s">
        <v>44</v>
      </c>
      <c r="M363" s="35"/>
      <c r="N363" s="35"/>
      <c r="O363" s="35"/>
      <c r="P363" s="35"/>
    </row>
    <row r="364" s="35" customFormat="true" ht="22.15" hidden="false" customHeight="true" outlineLevel="0" collapsed="false">
      <c r="A364" s="24" t="s">
        <v>720</v>
      </c>
      <c r="B364" s="94" t="n">
        <v>5</v>
      </c>
      <c r="C364" s="95" t="s">
        <v>728</v>
      </c>
      <c r="D364" s="95" t="s">
        <v>729</v>
      </c>
      <c r="E364" s="94" t="s">
        <v>43</v>
      </c>
      <c r="F364" s="96" t="n">
        <v>7</v>
      </c>
      <c r="G364" s="96" t="n">
        <v>0</v>
      </c>
      <c r="H364" s="96" t="n">
        <v>7</v>
      </c>
      <c r="I364" s="96" t="n">
        <v>0</v>
      </c>
      <c r="J364" s="96" t="n">
        <v>0</v>
      </c>
      <c r="K364" s="97" t="n">
        <f aca="false">SUM(F364:J364)</f>
        <v>14</v>
      </c>
      <c r="L364" s="22" t="s">
        <v>44</v>
      </c>
    </row>
    <row r="365" s="35" customFormat="true" ht="22.15" hidden="false" customHeight="true" outlineLevel="0" collapsed="false">
      <c r="A365" s="24" t="s">
        <v>720</v>
      </c>
      <c r="B365" s="94" t="n">
        <v>6</v>
      </c>
      <c r="C365" s="43" t="s">
        <v>730</v>
      </c>
      <c r="D365" s="43" t="s">
        <v>731</v>
      </c>
      <c r="E365" s="94" t="s">
        <v>43</v>
      </c>
      <c r="F365" s="96" t="n">
        <v>7</v>
      </c>
      <c r="G365" s="96" t="n">
        <v>0</v>
      </c>
      <c r="H365" s="96" t="n">
        <v>7</v>
      </c>
      <c r="I365" s="96" t="n">
        <v>0</v>
      </c>
      <c r="J365" s="96" t="n">
        <v>0</v>
      </c>
      <c r="K365" s="97" t="n">
        <f aca="false">SUM(F365:J365)</f>
        <v>14</v>
      </c>
      <c r="L365" s="22" t="s">
        <v>44</v>
      </c>
    </row>
    <row r="366" s="35" customFormat="true" ht="22.15" hidden="false" customHeight="true" outlineLevel="0" collapsed="false">
      <c r="A366" s="24" t="s">
        <v>720</v>
      </c>
      <c r="B366" s="94" t="n">
        <v>7</v>
      </c>
      <c r="C366" s="43" t="s">
        <v>732</v>
      </c>
      <c r="D366" s="43" t="s">
        <v>733</v>
      </c>
      <c r="E366" s="94" t="s">
        <v>43</v>
      </c>
      <c r="F366" s="96" t="n">
        <v>7</v>
      </c>
      <c r="G366" s="96" t="n">
        <v>0</v>
      </c>
      <c r="H366" s="96" t="n">
        <v>7</v>
      </c>
      <c r="I366" s="96" t="n">
        <v>0</v>
      </c>
      <c r="J366" s="96" t="n">
        <v>0</v>
      </c>
      <c r="K366" s="97" t="n">
        <f aca="false">SUM(F366:J366)</f>
        <v>14</v>
      </c>
      <c r="L366" s="22" t="s">
        <v>44</v>
      </c>
    </row>
    <row r="367" s="35" customFormat="true" ht="22.15" hidden="false" customHeight="true" outlineLevel="0" collapsed="false">
      <c r="A367" s="36" t="s">
        <v>720</v>
      </c>
      <c r="B367" s="98" t="n">
        <v>8</v>
      </c>
      <c r="C367" s="59" t="s">
        <v>734</v>
      </c>
      <c r="D367" s="59" t="s">
        <v>735</v>
      </c>
      <c r="E367" s="98" t="s">
        <v>43</v>
      </c>
      <c r="F367" s="99" t="n">
        <v>7</v>
      </c>
      <c r="G367" s="99" t="n">
        <v>0</v>
      </c>
      <c r="H367" s="99" t="n">
        <v>6</v>
      </c>
      <c r="I367" s="99" t="n">
        <v>0</v>
      </c>
      <c r="J367" s="99" t="n">
        <v>0</v>
      </c>
      <c r="K367" s="100" t="n">
        <f aca="false">SUM(F367:J367)</f>
        <v>13</v>
      </c>
      <c r="L367" s="27" t="s">
        <v>49</v>
      </c>
      <c r="M367" s="29"/>
      <c r="N367" s="29"/>
      <c r="O367" s="29"/>
      <c r="P367" s="29"/>
    </row>
    <row r="368" s="29" customFormat="true" ht="22.15" hidden="false" customHeight="true" outlineLevel="0" collapsed="false">
      <c r="A368" s="36" t="s">
        <v>720</v>
      </c>
      <c r="B368" s="98" t="n">
        <v>9</v>
      </c>
      <c r="C368" s="59" t="s">
        <v>736</v>
      </c>
      <c r="D368" s="59" t="s">
        <v>737</v>
      </c>
      <c r="E368" s="98" t="s">
        <v>43</v>
      </c>
      <c r="F368" s="99" t="n">
        <v>5</v>
      </c>
      <c r="G368" s="99" t="n">
        <v>7</v>
      </c>
      <c r="H368" s="99" t="n">
        <v>1</v>
      </c>
      <c r="I368" s="99" t="n">
        <v>0</v>
      </c>
      <c r="J368" s="99" t="n">
        <v>0</v>
      </c>
      <c r="K368" s="100" t="n">
        <f aca="false">SUM(F368:J368)</f>
        <v>13</v>
      </c>
      <c r="L368" s="27" t="s">
        <v>49</v>
      </c>
    </row>
    <row r="369" s="29" customFormat="true" ht="22.15" hidden="false" customHeight="true" outlineLevel="0" collapsed="false">
      <c r="A369" s="36" t="s">
        <v>720</v>
      </c>
      <c r="B369" s="98" t="n">
        <v>10</v>
      </c>
      <c r="C369" s="59" t="s">
        <v>738</v>
      </c>
      <c r="D369" s="59" t="s">
        <v>739</v>
      </c>
      <c r="E369" s="98" t="s">
        <v>43</v>
      </c>
      <c r="F369" s="99" t="n">
        <v>7</v>
      </c>
      <c r="G369" s="99" t="n">
        <v>0</v>
      </c>
      <c r="H369" s="99" t="n">
        <v>4</v>
      </c>
      <c r="I369" s="99" t="n">
        <v>1</v>
      </c>
      <c r="J369" s="99" t="n">
        <v>0</v>
      </c>
      <c r="K369" s="100" t="n">
        <f aca="false">SUM(F369:J369)</f>
        <v>12</v>
      </c>
      <c r="L369" s="27" t="s">
        <v>49</v>
      </c>
    </row>
    <row r="370" s="29" customFormat="true" ht="22.15" hidden="false" customHeight="true" outlineLevel="0" collapsed="false">
      <c r="A370" s="24" t="s">
        <v>740</v>
      </c>
      <c r="B370" s="42" t="n">
        <v>1</v>
      </c>
      <c r="C370" s="101" t="s">
        <v>741</v>
      </c>
      <c r="D370" s="101" t="s">
        <v>742</v>
      </c>
      <c r="E370" s="42" t="s">
        <v>43</v>
      </c>
      <c r="F370" s="96" t="n">
        <v>7</v>
      </c>
      <c r="G370" s="96" t="n">
        <v>0</v>
      </c>
      <c r="H370" s="96" t="n">
        <v>7</v>
      </c>
      <c r="I370" s="96" t="n">
        <v>0</v>
      </c>
      <c r="J370" s="96" t="n">
        <v>0</v>
      </c>
      <c r="K370" s="44" t="n">
        <f aca="false">SUM(F370:J370)</f>
        <v>14</v>
      </c>
      <c r="L370" s="22" t="s">
        <v>44</v>
      </c>
      <c r="M370" s="24" t="n">
        <f aca="false">SUM(K370:K379)</f>
        <v>108</v>
      </c>
      <c r="N370" s="35" t="n">
        <v>20</v>
      </c>
      <c r="O370" s="35"/>
      <c r="P370" s="35"/>
    </row>
    <row r="371" s="35" customFormat="true" ht="22.15" hidden="false" customHeight="true" outlineLevel="0" collapsed="false">
      <c r="A371" s="24" t="s">
        <v>740</v>
      </c>
      <c r="B371" s="42" t="n">
        <v>2</v>
      </c>
      <c r="C371" s="101" t="s">
        <v>743</v>
      </c>
      <c r="D371" s="101" t="s">
        <v>744</v>
      </c>
      <c r="E371" s="42" t="s">
        <v>43</v>
      </c>
      <c r="F371" s="96" t="n">
        <v>7</v>
      </c>
      <c r="G371" s="96" t="n">
        <v>7</v>
      </c>
      <c r="H371" s="96" t="n">
        <v>0</v>
      </c>
      <c r="I371" s="96" t="n">
        <v>0</v>
      </c>
      <c r="J371" s="96" t="n">
        <v>0</v>
      </c>
      <c r="K371" s="44" t="n">
        <f aca="false">SUM(F371:J371)</f>
        <v>14</v>
      </c>
      <c r="L371" s="22" t="s">
        <v>44</v>
      </c>
    </row>
    <row r="372" s="35" customFormat="true" ht="22.15" hidden="false" customHeight="true" outlineLevel="0" collapsed="false">
      <c r="A372" s="24" t="s">
        <v>740</v>
      </c>
      <c r="B372" s="42" t="n">
        <v>3</v>
      </c>
      <c r="C372" s="101" t="s">
        <v>745</v>
      </c>
      <c r="D372" s="101" t="s">
        <v>746</v>
      </c>
      <c r="E372" s="42" t="s">
        <v>43</v>
      </c>
      <c r="F372" s="96" t="n">
        <v>7</v>
      </c>
      <c r="G372" s="96" t="n">
        <v>7</v>
      </c>
      <c r="H372" s="96" t="n">
        <v>0</v>
      </c>
      <c r="I372" s="96" t="n">
        <v>0</v>
      </c>
      <c r="J372" s="96" t="n">
        <v>0</v>
      </c>
      <c r="K372" s="44" t="n">
        <f aca="false">SUM(F372:J372)</f>
        <v>14</v>
      </c>
      <c r="L372" s="22" t="s">
        <v>44</v>
      </c>
    </row>
    <row r="373" s="35" customFormat="true" ht="22.15" hidden="false" customHeight="true" outlineLevel="0" collapsed="false">
      <c r="A373" s="24" t="s">
        <v>740</v>
      </c>
      <c r="B373" s="42" t="n">
        <v>4</v>
      </c>
      <c r="C373" s="101" t="s">
        <v>747</v>
      </c>
      <c r="D373" s="101" t="s">
        <v>748</v>
      </c>
      <c r="E373" s="42" t="s">
        <v>43</v>
      </c>
      <c r="F373" s="96" t="n">
        <v>7</v>
      </c>
      <c r="G373" s="96" t="n">
        <v>0</v>
      </c>
      <c r="H373" s="96" t="n">
        <v>1</v>
      </c>
      <c r="I373" s="96" t="n">
        <v>0</v>
      </c>
      <c r="J373" s="96" t="n">
        <v>3</v>
      </c>
      <c r="K373" s="44" t="n">
        <f aca="false">SUM(F373:J373)</f>
        <v>11</v>
      </c>
      <c r="L373" s="22" t="s">
        <v>44</v>
      </c>
    </row>
    <row r="374" s="35" customFormat="true" ht="22.15" hidden="false" customHeight="true" outlineLevel="0" collapsed="false">
      <c r="A374" s="24" t="s">
        <v>740</v>
      </c>
      <c r="B374" s="42" t="n">
        <v>5</v>
      </c>
      <c r="C374" s="101" t="s">
        <v>749</v>
      </c>
      <c r="D374" s="101" t="s">
        <v>750</v>
      </c>
      <c r="E374" s="42" t="s">
        <v>43</v>
      </c>
      <c r="F374" s="96" t="n">
        <v>7</v>
      </c>
      <c r="G374" s="96" t="n">
        <v>0</v>
      </c>
      <c r="H374" s="96" t="n">
        <v>1</v>
      </c>
      <c r="I374" s="96" t="n">
        <v>3</v>
      </c>
      <c r="J374" s="96" t="n">
        <v>0</v>
      </c>
      <c r="K374" s="44" t="n">
        <f aca="false">SUM(F374:J374)</f>
        <v>11</v>
      </c>
      <c r="L374" s="22" t="s">
        <v>44</v>
      </c>
    </row>
    <row r="375" s="35" customFormat="true" ht="22.15" hidden="false" customHeight="true" outlineLevel="0" collapsed="false">
      <c r="A375" s="30" t="s">
        <v>740</v>
      </c>
      <c r="B375" s="32" t="n">
        <v>6</v>
      </c>
      <c r="C375" s="102" t="s">
        <v>751</v>
      </c>
      <c r="D375" s="102" t="s">
        <v>752</v>
      </c>
      <c r="E375" s="32" t="s">
        <v>43</v>
      </c>
      <c r="F375" s="103" t="n">
        <v>6</v>
      </c>
      <c r="G375" s="103" t="n">
        <v>0</v>
      </c>
      <c r="H375" s="103" t="n">
        <v>0</v>
      </c>
      <c r="I375" s="103" t="n">
        <v>4</v>
      </c>
      <c r="J375" s="103" t="n">
        <v>0</v>
      </c>
      <c r="K375" s="34" t="n">
        <f aca="false">SUM(F375:J375)</f>
        <v>10</v>
      </c>
      <c r="L375" s="4"/>
      <c r="M375" s="1"/>
      <c r="N375" s="1"/>
      <c r="O375" s="1"/>
      <c r="P375" s="1"/>
    </row>
    <row r="376" customFormat="false" ht="22.15" hidden="false" customHeight="true" outlineLevel="0" collapsed="false">
      <c r="A376" s="36" t="s">
        <v>740</v>
      </c>
      <c r="B376" s="49" t="n">
        <v>7</v>
      </c>
      <c r="C376" s="104" t="s">
        <v>753</v>
      </c>
      <c r="D376" s="104" t="s">
        <v>754</v>
      </c>
      <c r="E376" s="49" t="s">
        <v>43</v>
      </c>
      <c r="F376" s="99" t="n">
        <v>7</v>
      </c>
      <c r="G376" s="99" t="n">
        <v>0</v>
      </c>
      <c r="H376" s="99" t="n">
        <v>2</v>
      </c>
      <c r="I376" s="99" t="n">
        <v>0</v>
      </c>
      <c r="J376" s="99" t="n">
        <v>0</v>
      </c>
      <c r="K376" s="50" t="n">
        <f aca="false">SUM(F376:J376)</f>
        <v>9</v>
      </c>
      <c r="L376" s="27" t="s">
        <v>49</v>
      </c>
      <c r="M376" s="29"/>
      <c r="N376" s="29"/>
      <c r="O376" s="29"/>
      <c r="P376" s="29"/>
    </row>
    <row r="377" s="29" customFormat="true" ht="22.15" hidden="false" customHeight="true" outlineLevel="0" collapsed="false">
      <c r="A377" s="36" t="s">
        <v>740</v>
      </c>
      <c r="B377" s="49" t="n">
        <v>8</v>
      </c>
      <c r="C377" s="104" t="s">
        <v>755</v>
      </c>
      <c r="D377" s="104" t="s">
        <v>756</v>
      </c>
      <c r="E377" s="49" t="s">
        <v>43</v>
      </c>
      <c r="F377" s="99" t="n">
        <v>7</v>
      </c>
      <c r="G377" s="99" t="n">
        <v>0</v>
      </c>
      <c r="H377" s="99" t="n">
        <v>2</v>
      </c>
      <c r="I377" s="99" t="n">
        <v>0</v>
      </c>
      <c r="J377" s="99" t="n">
        <v>0</v>
      </c>
      <c r="K377" s="50" t="n">
        <f aca="false">SUM(F377:J377)</f>
        <v>9</v>
      </c>
      <c r="L377" s="27" t="s">
        <v>49</v>
      </c>
    </row>
    <row r="378" s="29" customFormat="true" ht="22.15" hidden="false" customHeight="true" outlineLevel="0" collapsed="false">
      <c r="A378" s="36" t="s">
        <v>740</v>
      </c>
      <c r="B378" s="49" t="n">
        <v>9</v>
      </c>
      <c r="C378" s="104" t="s">
        <v>757</v>
      </c>
      <c r="D378" s="104" t="s">
        <v>758</v>
      </c>
      <c r="E378" s="49" t="s">
        <v>43</v>
      </c>
      <c r="F378" s="99" t="n">
        <v>7</v>
      </c>
      <c r="G378" s="99" t="n">
        <v>0</v>
      </c>
      <c r="H378" s="99" t="n">
        <v>0</v>
      </c>
      <c r="I378" s="99" t="n">
        <v>1</v>
      </c>
      <c r="J378" s="99" t="n">
        <v>0</v>
      </c>
      <c r="K378" s="50" t="n">
        <f aca="false">SUM(F378:J378)</f>
        <v>8</v>
      </c>
      <c r="L378" s="27" t="s">
        <v>49</v>
      </c>
    </row>
    <row r="379" s="29" customFormat="true" ht="22.15" hidden="false" customHeight="true" outlineLevel="0" collapsed="false">
      <c r="A379" s="36" t="s">
        <v>740</v>
      </c>
      <c r="B379" s="98" t="n">
        <v>10</v>
      </c>
      <c r="C379" s="104" t="s">
        <v>759</v>
      </c>
      <c r="D379" s="104" t="s">
        <v>760</v>
      </c>
      <c r="E379" s="49" t="s">
        <v>43</v>
      </c>
      <c r="F379" s="99" t="n">
        <v>7</v>
      </c>
      <c r="G379" s="99" t="n">
        <v>0</v>
      </c>
      <c r="H379" s="99" t="n">
        <v>1</v>
      </c>
      <c r="I379" s="99" t="n">
        <v>0</v>
      </c>
      <c r="J379" s="99" t="n">
        <v>0</v>
      </c>
      <c r="K379" s="100" t="n">
        <f aca="false">SUM(F379:J379)</f>
        <v>8</v>
      </c>
      <c r="L379" s="27" t="s">
        <v>49</v>
      </c>
    </row>
    <row r="380" s="29" customFormat="true" ht="22.15" hidden="false" customHeight="true" outlineLevel="0" collapsed="false">
      <c r="A380" s="37" t="s">
        <v>761</v>
      </c>
      <c r="B380" s="12" t="n">
        <v>1</v>
      </c>
      <c r="C380" s="11" t="s">
        <v>72</v>
      </c>
      <c r="D380" s="11" t="s">
        <v>438</v>
      </c>
      <c r="E380" s="12" t="s">
        <v>43</v>
      </c>
      <c r="F380" s="13" t="n">
        <v>7</v>
      </c>
      <c r="G380" s="13" t="n">
        <v>7</v>
      </c>
      <c r="H380" s="13" t="n">
        <v>7</v>
      </c>
      <c r="I380" s="13" t="n">
        <v>7</v>
      </c>
      <c r="J380" s="13" t="n">
        <v>7</v>
      </c>
      <c r="K380" s="13" t="n">
        <v>35</v>
      </c>
      <c r="L380" s="12" t="s">
        <v>68</v>
      </c>
      <c r="M380" s="37" t="n">
        <f aca="false">SUM(K380:K389)</f>
        <v>324</v>
      </c>
      <c r="N380" s="14" t="n">
        <v>1</v>
      </c>
      <c r="O380" s="14"/>
      <c r="P380" s="14"/>
    </row>
    <row r="381" s="14" customFormat="true" ht="22.15" hidden="false" customHeight="true" outlineLevel="0" collapsed="false">
      <c r="A381" s="38" t="s">
        <v>761</v>
      </c>
      <c r="B381" s="17" t="n">
        <v>2</v>
      </c>
      <c r="C381" s="16" t="s">
        <v>72</v>
      </c>
      <c r="D381" s="16" t="s">
        <v>762</v>
      </c>
      <c r="E381" s="17" t="s">
        <v>43</v>
      </c>
      <c r="F381" s="18" t="n">
        <v>7</v>
      </c>
      <c r="G381" s="18" t="n">
        <v>7</v>
      </c>
      <c r="H381" s="18" t="n">
        <v>7</v>
      </c>
      <c r="I381" s="18" t="n">
        <v>7</v>
      </c>
      <c r="J381" s="18" t="n">
        <v>7</v>
      </c>
      <c r="K381" s="18" t="n">
        <v>35</v>
      </c>
      <c r="L381" s="17" t="s">
        <v>71</v>
      </c>
      <c r="M381" s="19"/>
      <c r="N381" s="19"/>
      <c r="O381" s="19"/>
      <c r="P381" s="19"/>
    </row>
    <row r="382" s="19" customFormat="true" ht="22.15" hidden="false" customHeight="true" outlineLevel="0" collapsed="false">
      <c r="A382" s="38" t="s">
        <v>761</v>
      </c>
      <c r="B382" s="17" t="n">
        <v>3</v>
      </c>
      <c r="C382" s="16" t="s">
        <v>72</v>
      </c>
      <c r="D382" s="16" t="s">
        <v>763</v>
      </c>
      <c r="E382" s="17" t="s">
        <v>43</v>
      </c>
      <c r="F382" s="18" t="n">
        <v>7</v>
      </c>
      <c r="G382" s="18" t="n">
        <v>7</v>
      </c>
      <c r="H382" s="18" t="n">
        <v>7</v>
      </c>
      <c r="I382" s="18" t="n">
        <v>7</v>
      </c>
      <c r="J382" s="18" t="n">
        <v>7</v>
      </c>
      <c r="K382" s="18" t="n">
        <v>35</v>
      </c>
      <c r="L382" s="17" t="s">
        <v>71</v>
      </c>
    </row>
    <row r="383" s="19" customFormat="true" ht="22.15" hidden="false" customHeight="true" outlineLevel="0" collapsed="false">
      <c r="A383" s="24" t="s">
        <v>761</v>
      </c>
      <c r="B383" s="22" t="n">
        <v>4</v>
      </c>
      <c r="C383" s="21" t="s">
        <v>507</v>
      </c>
      <c r="D383" s="21" t="s">
        <v>179</v>
      </c>
      <c r="E383" s="22" t="s">
        <v>43</v>
      </c>
      <c r="F383" s="23" t="n">
        <v>7</v>
      </c>
      <c r="G383" s="23" t="n">
        <v>7</v>
      </c>
      <c r="H383" s="23" t="n">
        <v>7</v>
      </c>
      <c r="I383" s="23" t="n">
        <v>7</v>
      </c>
      <c r="J383" s="23" t="n">
        <v>7</v>
      </c>
      <c r="K383" s="23" t="n">
        <v>35</v>
      </c>
      <c r="L383" s="22" t="s">
        <v>44</v>
      </c>
      <c r="M383" s="35"/>
      <c r="N383" s="35"/>
      <c r="O383" s="35"/>
      <c r="P383" s="35"/>
    </row>
    <row r="384" s="35" customFormat="true" ht="22.15" hidden="false" customHeight="true" outlineLevel="0" collapsed="false">
      <c r="A384" s="24" t="s">
        <v>761</v>
      </c>
      <c r="B384" s="22" t="n">
        <v>5</v>
      </c>
      <c r="C384" s="21" t="s">
        <v>764</v>
      </c>
      <c r="D384" s="21" t="s">
        <v>83</v>
      </c>
      <c r="E384" s="22" t="s">
        <v>43</v>
      </c>
      <c r="F384" s="23" t="n">
        <v>6</v>
      </c>
      <c r="G384" s="23" t="n">
        <v>7</v>
      </c>
      <c r="H384" s="23" t="n">
        <v>7</v>
      </c>
      <c r="I384" s="23" t="n">
        <v>7</v>
      </c>
      <c r="J384" s="23" t="n">
        <v>7</v>
      </c>
      <c r="K384" s="23" t="n">
        <v>34</v>
      </c>
      <c r="L384" s="22" t="s">
        <v>44</v>
      </c>
    </row>
    <row r="385" s="35" customFormat="true" ht="22.15" hidden="false" customHeight="true" outlineLevel="0" collapsed="false">
      <c r="A385" s="24" t="s">
        <v>761</v>
      </c>
      <c r="B385" s="22" t="n">
        <v>6</v>
      </c>
      <c r="C385" s="21" t="s">
        <v>765</v>
      </c>
      <c r="D385" s="21" t="s">
        <v>766</v>
      </c>
      <c r="E385" s="22" t="s">
        <v>43</v>
      </c>
      <c r="F385" s="23" t="n">
        <v>7</v>
      </c>
      <c r="G385" s="23" t="n">
        <v>7</v>
      </c>
      <c r="H385" s="23" t="n">
        <v>6</v>
      </c>
      <c r="I385" s="23" t="n">
        <v>7</v>
      </c>
      <c r="J385" s="23" t="n">
        <v>6</v>
      </c>
      <c r="K385" s="23" t="n">
        <v>33</v>
      </c>
      <c r="L385" s="22" t="s">
        <v>44</v>
      </c>
    </row>
    <row r="386" s="35" customFormat="true" ht="22.15" hidden="false" customHeight="true" outlineLevel="0" collapsed="false">
      <c r="A386" s="24" t="s">
        <v>761</v>
      </c>
      <c r="B386" s="22" t="n">
        <v>7</v>
      </c>
      <c r="C386" s="21" t="s">
        <v>69</v>
      </c>
      <c r="D386" s="21" t="s">
        <v>767</v>
      </c>
      <c r="E386" s="22" t="s">
        <v>43</v>
      </c>
      <c r="F386" s="23" t="n">
        <v>7</v>
      </c>
      <c r="G386" s="23" t="n">
        <v>7</v>
      </c>
      <c r="H386" s="23" t="n">
        <v>6</v>
      </c>
      <c r="I386" s="23" t="n">
        <v>7</v>
      </c>
      <c r="J386" s="23" t="n">
        <v>5</v>
      </c>
      <c r="K386" s="23" t="n">
        <v>32</v>
      </c>
      <c r="L386" s="22" t="s">
        <v>44</v>
      </c>
    </row>
    <row r="387" s="35" customFormat="true" ht="22.15" hidden="false" customHeight="true" outlineLevel="0" collapsed="false">
      <c r="A387" s="36" t="s">
        <v>761</v>
      </c>
      <c r="B387" s="27" t="n">
        <v>8</v>
      </c>
      <c r="C387" s="26" t="s">
        <v>768</v>
      </c>
      <c r="D387" s="26" t="s">
        <v>769</v>
      </c>
      <c r="E387" s="27" t="s">
        <v>43</v>
      </c>
      <c r="F387" s="28" t="n">
        <v>7</v>
      </c>
      <c r="G387" s="28" t="n">
        <v>7</v>
      </c>
      <c r="H387" s="28" t="n">
        <v>7</v>
      </c>
      <c r="I387" s="28" t="n">
        <v>1</v>
      </c>
      <c r="J387" s="28" t="n">
        <v>7</v>
      </c>
      <c r="K387" s="28" t="n">
        <v>29</v>
      </c>
      <c r="L387" s="27" t="s">
        <v>49</v>
      </c>
      <c r="M387" s="29"/>
      <c r="N387" s="29"/>
      <c r="O387" s="29"/>
      <c r="P387" s="29"/>
    </row>
    <row r="388" s="29" customFormat="true" ht="22.15" hidden="false" customHeight="true" outlineLevel="0" collapsed="false">
      <c r="A388" s="36" t="s">
        <v>761</v>
      </c>
      <c r="B388" s="27" t="n">
        <v>9</v>
      </c>
      <c r="C388" s="26" t="s">
        <v>770</v>
      </c>
      <c r="D388" s="26" t="s">
        <v>457</v>
      </c>
      <c r="E388" s="27" t="s">
        <v>43</v>
      </c>
      <c r="F388" s="28" t="n">
        <v>7</v>
      </c>
      <c r="G388" s="28" t="n">
        <v>7</v>
      </c>
      <c r="H388" s="28" t="n">
        <v>7</v>
      </c>
      <c r="I388" s="28" t="n">
        <v>0</v>
      </c>
      <c r="J388" s="28" t="n">
        <v>7</v>
      </c>
      <c r="K388" s="28" t="n">
        <v>28</v>
      </c>
      <c r="L388" s="27" t="s">
        <v>49</v>
      </c>
    </row>
    <row r="389" s="29" customFormat="true" ht="22.15" hidden="false" customHeight="true" outlineLevel="0" collapsed="false">
      <c r="A389" s="36" t="s">
        <v>761</v>
      </c>
      <c r="B389" s="27" t="n">
        <v>10</v>
      </c>
      <c r="C389" s="26" t="s">
        <v>771</v>
      </c>
      <c r="D389" s="26" t="s">
        <v>121</v>
      </c>
      <c r="E389" s="27" t="s">
        <v>43</v>
      </c>
      <c r="F389" s="28" t="n">
        <v>7</v>
      </c>
      <c r="G389" s="28" t="n">
        <v>7</v>
      </c>
      <c r="H389" s="28" t="n">
        <v>7</v>
      </c>
      <c r="I389" s="28" t="n">
        <v>0</v>
      </c>
      <c r="J389" s="28" t="n">
        <v>7</v>
      </c>
      <c r="K389" s="28" t="n">
        <v>28</v>
      </c>
      <c r="L389" s="27" t="s">
        <v>49</v>
      </c>
    </row>
    <row r="390" s="29" customFormat="true" ht="22.15" hidden="false" customHeight="true" outlineLevel="0" collapsed="false">
      <c r="A390" s="36" t="s">
        <v>772</v>
      </c>
      <c r="B390" s="27" t="n">
        <v>1</v>
      </c>
      <c r="C390" s="26" t="s">
        <v>773</v>
      </c>
      <c r="D390" s="26" t="s">
        <v>774</v>
      </c>
      <c r="E390" s="27"/>
      <c r="F390" s="28" t="n">
        <v>7</v>
      </c>
      <c r="G390" s="28" t="n">
        <v>0</v>
      </c>
      <c r="H390" s="28" t="n">
        <v>0</v>
      </c>
      <c r="I390" s="28" t="n">
        <v>0</v>
      </c>
      <c r="J390" s="28" t="n">
        <v>0</v>
      </c>
      <c r="K390" s="28" t="n">
        <f aca="false">SUM(F390:J390)</f>
        <v>7</v>
      </c>
      <c r="L390" s="27" t="s">
        <v>49</v>
      </c>
      <c r="M390" s="36" t="n">
        <f aca="false">SUM(K390:K395)</f>
        <v>32</v>
      </c>
      <c r="N390" s="29" t="n">
        <v>40</v>
      </c>
    </row>
    <row r="391" s="29" customFormat="true" ht="22.15" hidden="false" customHeight="true" outlineLevel="0" collapsed="false">
      <c r="A391" s="36" t="s">
        <v>772</v>
      </c>
      <c r="B391" s="27" t="n">
        <v>2</v>
      </c>
      <c r="C391" s="26" t="s">
        <v>775</v>
      </c>
      <c r="D391" s="26" t="s">
        <v>776</v>
      </c>
      <c r="E391" s="27"/>
      <c r="F391" s="28" t="n">
        <v>7</v>
      </c>
      <c r="G391" s="28" t="n">
        <v>0</v>
      </c>
      <c r="H391" s="28" t="n">
        <v>0</v>
      </c>
      <c r="I391" s="28" t="n">
        <v>0</v>
      </c>
      <c r="J391" s="28" t="n">
        <v>0</v>
      </c>
      <c r="K391" s="28" t="n">
        <f aca="false">SUM(F391:J391)</f>
        <v>7</v>
      </c>
      <c r="L391" s="27" t="s">
        <v>49</v>
      </c>
    </row>
    <row r="392" s="29" customFormat="true" ht="22.15" hidden="false" customHeight="true" outlineLevel="0" collapsed="false">
      <c r="A392" s="36" t="s">
        <v>772</v>
      </c>
      <c r="B392" s="27" t="n">
        <v>3</v>
      </c>
      <c r="C392" s="26" t="s">
        <v>777</v>
      </c>
      <c r="D392" s="26" t="s">
        <v>62</v>
      </c>
      <c r="E392" s="27"/>
      <c r="F392" s="28" t="n">
        <v>7</v>
      </c>
      <c r="G392" s="28" t="n">
        <v>0</v>
      </c>
      <c r="H392" s="28" t="n">
        <v>0</v>
      </c>
      <c r="I392" s="28" t="n">
        <v>0</v>
      </c>
      <c r="J392" s="28" t="n">
        <v>0</v>
      </c>
      <c r="K392" s="28" t="n">
        <f aca="false">SUM(F392:J392)</f>
        <v>7</v>
      </c>
      <c r="L392" s="27" t="s">
        <v>49</v>
      </c>
    </row>
    <row r="393" s="29" customFormat="true" ht="22.15" hidden="false" customHeight="true" outlineLevel="0" collapsed="false">
      <c r="A393" s="30" t="s">
        <v>772</v>
      </c>
      <c r="B393" s="4" t="n">
        <v>4</v>
      </c>
      <c r="C393" s="3" t="s">
        <v>777</v>
      </c>
      <c r="D393" s="3" t="s">
        <v>778</v>
      </c>
      <c r="E393" s="4"/>
      <c r="F393" s="5" t="n">
        <v>6</v>
      </c>
      <c r="G393" s="5" t="n">
        <v>0</v>
      </c>
      <c r="H393" s="5" t="n">
        <v>0</v>
      </c>
      <c r="I393" s="5" t="n">
        <v>0</v>
      </c>
      <c r="J393" s="5" t="n">
        <v>0</v>
      </c>
      <c r="K393" s="5" t="n">
        <f aca="false">SUM(F393:J393)</f>
        <v>6</v>
      </c>
      <c r="L393" s="4"/>
      <c r="M393" s="1"/>
      <c r="N393" s="1"/>
      <c r="O393" s="1"/>
      <c r="P393" s="1"/>
    </row>
    <row r="394" customFormat="false" ht="22.15" hidden="false" customHeight="true" outlineLevel="0" collapsed="false">
      <c r="A394" s="30" t="s">
        <v>772</v>
      </c>
      <c r="B394" s="4" t="n">
        <v>5</v>
      </c>
      <c r="C394" s="3" t="s">
        <v>779</v>
      </c>
      <c r="D394" s="3" t="s">
        <v>780</v>
      </c>
      <c r="F394" s="5" t="n">
        <v>4</v>
      </c>
      <c r="G394" s="5" t="n">
        <v>0</v>
      </c>
      <c r="H394" s="5" t="n">
        <v>0</v>
      </c>
      <c r="I394" s="5" t="n">
        <v>0</v>
      </c>
      <c r="J394" s="5" t="n">
        <v>0</v>
      </c>
      <c r="K394" s="5" t="n">
        <f aca="false">SUM(F394:J394)</f>
        <v>4</v>
      </c>
      <c r="L394" s="4"/>
    </row>
    <row r="395" customFormat="false" ht="22.15" hidden="false" customHeight="true" outlineLevel="0" collapsed="false">
      <c r="A395" s="30" t="s">
        <v>772</v>
      </c>
      <c r="B395" s="4" t="n">
        <v>6</v>
      </c>
      <c r="C395" s="3" t="s">
        <v>781</v>
      </c>
      <c r="D395" s="3" t="s">
        <v>782</v>
      </c>
      <c r="F395" s="5" t="n">
        <v>1</v>
      </c>
      <c r="G395" s="5" t="n">
        <v>0</v>
      </c>
      <c r="H395" s="5" t="n">
        <v>0</v>
      </c>
      <c r="I395" s="5" t="n">
        <v>0</v>
      </c>
      <c r="J395" s="5" t="n">
        <v>0</v>
      </c>
      <c r="K395" s="5" t="n">
        <f aca="false">SUM(F395:J395)</f>
        <v>1</v>
      </c>
      <c r="L395" s="4"/>
    </row>
    <row r="396" customFormat="false" ht="22.15" hidden="false" customHeight="true" outlineLevel="0" collapsed="false">
      <c r="A396" s="38" t="s">
        <v>783</v>
      </c>
      <c r="B396" s="17" t="n">
        <v>1</v>
      </c>
      <c r="C396" s="16" t="s">
        <v>784</v>
      </c>
      <c r="D396" s="16" t="s">
        <v>785</v>
      </c>
      <c r="E396" s="17" t="s">
        <v>43</v>
      </c>
      <c r="F396" s="18" t="n">
        <v>7</v>
      </c>
      <c r="G396" s="18" t="n">
        <v>7</v>
      </c>
      <c r="H396" s="18" t="n">
        <v>7</v>
      </c>
      <c r="I396" s="18" t="n">
        <v>0</v>
      </c>
      <c r="J396" s="18" t="n">
        <v>0</v>
      </c>
      <c r="K396" s="18" t="n">
        <f aca="false">SUM(F396:J396)</f>
        <v>21</v>
      </c>
      <c r="L396" s="17" t="s">
        <v>71</v>
      </c>
      <c r="M396" s="38" t="n">
        <f aca="false">SUM(K396:K405)</f>
        <v>108</v>
      </c>
      <c r="N396" s="19" t="n">
        <v>20</v>
      </c>
      <c r="O396" s="19"/>
      <c r="P396" s="19"/>
    </row>
    <row r="397" s="19" customFormat="true" ht="22.15" hidden="false" customHeight="true" outlineLevel="0" collapsed="false">
      <c r="A397" s="24" t="s">
        <v>783</v>
      </c>
      <c r="B397" s="22" t="n">
        <v>2</v>
      </c>
      <c r="C397" s="21" t="s">
        <v>786</v>
      </c>
      <c r="D397" s="21" t="s">
        <v>787</v>
      </c>
      <c r="E397" s="22" t="s">
        <v>43</v>
      </c>
      <c r="F397" s="23" t="n">
        <v>7</v>
      </c>
      <c r="G397" s="23" t="n">
        <v>0</v>
      </c>
      <c r="H397" s="23" t="n">
        <v>7</v>
      </c>
      <c r="I397" s="23" t="n">
        <v>0</v>
      </c>
      <c r="J397" s="23" t="n">
        <v>0</v>
      </c>
      <c r="K397" s="23" t="n">
        <f aca="false">SUM(F397:J397)</f>
        <v>14</v>
      </c>
      <c r="L397" s="22" t="s">
        <v>44</v>
      </c>
      <c r="M397" s="35"/>
      <c r="N397" s="35"/>
      <c r="O397" s="35"/>
      <c r="P397" s="35"/>
    </row>
    <row r="398" s="35" customFormat="true" ht="22.15" hidden="false" customHeight="true" outlineLevel="0" collapsed="false">
      <c r="A398" s="24" t="s">
        <v>783</v>
      </c>
      <c r="B398" s="22" t="n">
        <v>3</v>
      </c>
      <c r="C398" s="21" t="s">
        <v>788</v>
      </c>
      <c r="D398" s="21" t="s">
        <v>789</v>
      </c>
      <c r="E398" s="22" t="s">
        <v>43</v>
      </c>
      <c r="F398" s="23" t="n">
        <v>7</v>
      </c>
      <c r="G398" s="23" t="n">
        <v>0</v>
      </c>
      <c r="H398" s="23" t="n">
        <v>4</v>
      </c>
      <c r="I398" s="23" t="n">
        <v>1</v>
      </c>
      <c r="J398" s="23" t="n">
        <v>0</v>
      </c>
      <c r="K398" s="23" t="n">
        <f aca="false">SUM(F398:J398)</f>
        <v>12</v>
      </c>
      <c r="L398" s="22" t="s">
        <v>44</v>
      </c>
    </row>
    <row r="399" s="35" customFormat="true" ht="22.15" hidden="false" customHeight="true" outlineLevel="0" collapsed="false">
      <c r="A399" s="36" t="s">
        <v>783</v>
      </c>
      <c r="B399" s="27" t="n">
        <v>4</v>
      </c>
      <c r="C399" s="26" t="s">
        <v>790</v>
      </c>
      <c r="D399" s="26" t="s">
        <v>791</v>
      </c>
      <c r="E399" s="27" t="s">
        <v>43</v>
      </c>
      <c r="F399" s="28" t="n">
        <v>7</v>
      </c>
      <c r="G399" s="28" t="n">
        <v>1</v>
      </c>
      <c r="H399" s="28" t="n">
        <v>2</v>
      </c>
      <c r="I399" s="28" t="n">
        <v>0</v>
      </c>
      <c r="J399" s="28" t="n">
        <v>0</v>
      </c>
      <c r="K399" s="28" t="n">
        <f aca="false">SUM(F399:J399)</f>
        <v>10</v>
      </c>
      <c r="L399" s="27" t="s">
        <v>49</v>
      </c>
      <c r="M399" s="29"/>
      <c r="N399" s="29"/>
      <c r="O399" s="29"/>
      <c r="P399" s="29"/>
    </row>
    <row r="400" s="29" customFormat="true" ht="22.15" hidden="false" customHeight="true" outlineLevel="0" collapsed="false">
      <c r="A400" s="36" t="s">
        <v>783</v>
      </c>
      <c r="B400" s="27" t="n">
        <v>5</v>
      </c>
      <c r="C400" s="26" t="s">
        <v>792</v>
      </c>
      <c r="D400" s="26" t="s">
        <v>793</v>
      </c>
      <c r="E400" s="27" t="s">
        <v>43</v>
      </c>
      <c r="F400" s="28" t="n">
        <v>7</v>
      </c>
      <c r="G400" s="28" t="n">
        <v>0</v>
      </c>
      <c r="H400" s="28" t="n">
        <v>3</v>
      </c>
      <c r="I400" s="28" t="n">
        <v>0</v>
      </c>
      <c r="J400" s="28" t="n">
        <v>0</v>
      </c>
      <c r="K400" s="28" t="n">
        <f aca="false">SUM(F400:J400)</f>
        <v>10</v>
      </c>
      <c r="L400" s="27" t="s">
        <v>49</v>
      </c>
    </row>
    <row r="401" s="29" customFormat="true" ht="22.15" hidden="false" customHeight="true" outlineLevel="0" collapsed="false">
      <c r="A401" s="36" t="s">
        <v>783</v>
      </c>
      <c r="B401" s="27" t="n">
        <v>6</v>
      </c>
      <c r="C401" s="26" t="s">
        <v>794</v>
      </c>
      <c r="D401" s="26" t="s">
        <v>795</v>
      </c>
      <c r="E401" s="27" t="s">
        <v>43</v>
      </c>
      <c r="F401" s="28" t="n">
        <v>7</v>
      </c>
      <c r="G401" s="28" t="n">
        <v>0</v>
      </c>
      <c r="H401" s="28" t="n">
        <v>2</v>
      </c>
      <c r="I401" s="28" t="n">
        <v>0</v>
      </c>
      <c r="J401" s="28" t="n">
        <v>0</v>
      </c>
      <c r="K401" s="28" t="n">
        <f aca="false">SUM(F401:J401)</f>
        <v>9</v>
      </c>
      <c r="L401" s="27" t="s">
        <v>49</v>
      </c>
    </row>
    <row r="402" s="29" customFormat="true" ht="22.15" hidden="false" customHeight="true" outlineLevel="0" collapsed="false">
      <c r="A402" s="36" t="s">
        <v>783</v>
      </c>
      <c r="B402" s="27" t="n">
        <v>7</v>
      </c>
      <c r="C402" s="26" t="s">
        <v>796</v>
      </c>
      <c r="D402" s="26" t="s">
        <v>797</v>
      </c>
      <c r="E402" s="27" t="s">
        <v>43</v>
      </c>
      <c r="F402" s="28" t="n">
        <v>7</v>
      </c>
      <c r="G402" s="28" t="n">
        <v>0</v>
      </c>
      <c r="H402" s="28" t="n">
        <v>2</v>
      </c>
      <c r="I402" s="28" t="n">
        <v>0</v>
      </c>
      <c r="J402" s="28" t="n">
        <v>0</v>
      </c>
      <c r="K402" s="28" t="n">
        <f aca="false">SUM(F402:J402)</f>
        <v>9</v>
      </c>
      <c r="L402" s="27" t="s">
        <v>49</v>
      </c>
    </row>
    <row r="403" s="29" customFormat="true" ht="22.15" hidden="false" customHeight="true" outlineLevel="0" collapsed="false">
      <c r="A403" s="36" t="s">
        <v>783</v>
      </c>
      <c r="B403" s="27" t="n">
        <v>8</v>
      </c>
      <c r="C403" s="26" t="s">
        <v>798</v>
      </c>
      <c r="D403" s="26" t="s">
        <v>799</v>
      </c>
      <c r="E403" s="27" t="s">
        <v>43</v>
      </c>
      <c r="F403" s="28" t="n">
        <v>7</v>
      </c>
      <c r="G403" s="28" t="n">
        <v>0</v>
      </c>
      <c r="H403" s="28" t="n">
        <v>2</v>
      </c>
      <c r="I403" s="28" t="n">
        <v>0</v>
      </c>
      <c r="J403" s="28" t="n">
        <v>0</v>
      </c>
      <c r="K403" s="28" t="n">
        <f aca="false">SUM(F403:J403)</f>
        <v>9</v>
      </c>
      <c r="L403" s="27" t="s">
        <v>49</v>
      </c>
    </row>
    <row r="404" s="29" customFormat="true" ht="22.15" hidden="false" customHeight="true" outlineLevel="0" collapsed="false">
      <c r="A404" s="36" t="s">
        <v>783</v>
      </c>
      <c r="B404" s="27" t="n">
        <v>9</v>
      </c>
      <c r="C404" s="26" t="s">
        <v>800</v>
      </c>
      <c r="D404" s="26" t="s">
        <v>801</v>
      </c>
      <c r="E404" s="27" t="s">
        <v>43</v>
      </c>
      <c r="F404" s="28" t="n">
        <v>7</v>
      </c>
      <c r="G404" s="28" t="n">
        <v>0</v>
      </c>
      <c r="H404" s="28" t="n">
        <v>0</v>
      </c>
      <c r="I404" s="28" t="n">
        <v>0</v>
      </c>
      <c r="J404" s="28" t="n">
        <v>0</v>
      </c>
      <c r="K404" s="28" t="n">
        <f aca="false">SUM(F404:J404)</f>
        <v>7</v>
      </c>
      <c r="L404" s="27" t="s">
        <v>49</v>
      </c>
    </row>
    <row r="405" s="29" customFormat="true" ht="22.15" hidden="false" customHeight="true" outlineLevel="0" collapsed="false">
      <c r="A405" s="36" t="s">
        <v>783</v>
      </c>
      <c r="B405" s="27" t="n">
        <v>10</v>
      </c>
      <c r="C405" s="26" t="s">
        <v>802</v>
      </c>
      <c r="D405" s="26" t="s">
        <v>803</v>
      </c>
      <c r="E405" s="27" t="s">
        <v>43</v>
      </c>
      <c r="F405" s="28" t="n">
        <v>7</v>
      </c>
      <c r="G405" s="28" t="n">
        <v>0</v>
      </c>
      <c r="H405" s="28" t="n">
        <v>0</v>
      </c>
      <c r="I405" s="28" t="n">
        <v>0</v>
      </c>
      <c r="J405" s="28" t="n">
        <v>0</v>
      </c>
      <c r="K405" s="28" t="n">
        <f aca="false">SUM(F405:J405)</f>
        <v>7</v>
      </c>
      <c r="L405" s="27" t="s">
        <v>49</v>
      </c>
    </row>
    <row r="406" s="29" customFormat="true" ht="22.15" hidden="false" customHeight="true" outlineLevel="0" collapsed="false">
      <c r="A406" s="37" t="s">
        <v>804</v>
      </c>
      <c r="B406" s="12" t="n">
        <v>1</v>
      </c>
      <c r="C406" s="11" t="s">
        <v>805</v>
      </c>
      <c r="D406" s="11" t="s">
        <v>806</v>
      </c>
      <c r="E406" s="12" t="s">
        <v>43</v>
      </c>
      <c r="F406" s="13" t="n">
        <v>7</v>
      </c>
      <c r="G406" s="13" t="n">
        <v>0</v>
      </c>
      <c r="H406" s="13" t="n">
        <v>7</v>
      </c>
      <c r="I406" s="13" t="n">
        <v>7</v>
      </c>
      <c r="J406" s="13" t="n">
        <v>6</v>
      </c>
      <c r="K406" s="13" t="n">
        <v>27</v>
      </c>
      <c r="L406" s="12" t="s">
        <v>68</v>
      </c>
      <c r="M406" s="37" t="n">
        <f aca="false">SUM(K406:K415)</f>
        <v>204</v>
      </c>
      <c r="N406" s="14" t="n">
        <v>7</v>
      </c>
      <c r="O406" s="14"/>
      <c r="P406" s="14"/>
    </row>
    <row r="407" s="14" customFormat="true" ht="22.15" hidden="false" customHeight="true" outlineLevel="0" collapsed="false">
      <c r="A407" s="38" t="s">
        <v>804</v>
      </c>
      <c r="B407" s="17" t="n">
        <v>2</v>
      </c>
      <c r="C407" s="16" t="s">
        <v>807</v>
      </c>
      <c r="D407" s="16" t="s">
        <v>808</v>
      </c>
      <c r="E407" s="17" t="s">
        <v>43</v>
      </c>
      <c r="F407" s="18" t="n">
        <v>7</v>
      </c>
      <c r="G407" s="18" t="n">
        <v>0</v>
      </c>
      <c r="H407" s="18" t="n">
        <v>5</v>
      </c>
      <c r="I407" s="18" t="n">
        <v>0</v>
      </c>
      <c r="J407" s="18" t="n">
        <v>6</v>
      </c>
      <c r="K407" s="18" t="n">
        <v>25</v>
      </c>
      <c r="L407" s="17" t="s">
        <v>71</v>
      </c>
      <c r="M407" s="19"/>
      <c r="N407" s="19"/>
      <c r="O407" s="19"/>
      <c r="P407" s="19"/>
    </row>
    <row r="408" s="19" customFormat="true" ht="22.15" hidden="false" customHeight="true" outlineLevel="0" collapsed="false">
      <c r="A408" s="38" t="s">
        <v>804</v>
      </c>
      <c r="B408" s="17" t="n">
        <v>3</v>
      </c>
      <c r="C408" s="16" t="s">
        <v>809</v>
      </c>
      <c r="D408" s="16" t="s">
        <v>810</v>
      </c>
      <c r="E408" s="17" t="s">
        <v>43</v>
      </c>
      <c r="F408" s="18" t="n">
        <v>7</v>
      </c>
      <c r="G408" s="18" t="n">
        <v>7</v>
      </c>
      <c r="H408" s="18" t="n">
        <v>5</v>
      </c>
      <c r="I408" s="18" t="n">
        <v>6</v>
      </c>
      <c r="J408" s="18" t="n">
        <v>0</v>
      </c>
      <c r="K408" s="18" t="n">
        <v>25</v>
      </c>
      <c r="L408" s="17" t="s">
        <v>71</v>
      </c>
    </row>
    <row r="409" s="19" customFormat="true" ht="22.15" hidden="false" customHeight="true" outlineLevel="0" collapsed="false">
      <c r="A409" s="24" t="s">
        <v>804</v>
      </c>
      <c r="B409" s="22" t="n">
        <v>4</v>
      </c>
      <c r="C409" s="21" t="s">
        <v>811</v>
      </c>
      <c r="D409" s="21" t="s">
        <v>812</v>
      </c>
      <c r="E409" s="22" t="s">
        <v>43</v>
      </c>
      <c r="F409" s="23" t="n">
        <v>7</v>
      </c>
      <c r="G409" s="23" t="n">
        <v>1</v>
      </c>
      <c r="H409" s="23" t="n">
        <v>7</v>
      </c>
      <c r="I409" s="23" t="n">
        <v>7</v>
      </c>
      <c r="J409" s="23" t="n">
        <v>0</v>
      </c>
      <c r="K409" s="23" t="n">
        <v>22</v>
      </c>
      <c r="L409" s="22" t="s">
        <v>44</v>
      </c>
      <c r="M409" s="35"/>
      <c r="N409" s="35"/>
      <c r="O409" s="35"/>
      <c r="P409" s="35"/>
    </row>
    <row r="410" s="35" customFormat="true" ht="22.15" hidden="false" customHeight="true" outlineLevel="0" collapsed="false">
      <c r="A410" s="24" t="s">
        <v>804</v>
      </c>
      <c r="B410" s="22" t="n">
        <v>5</v>
      </c>
      <c r="C410" s="21" t="s">
        <v>805</v>
      </c>
      <c r="D410" s="21" t="s">
        <v>813</v>
      </c>
      <c r="E410" s="22" t="s">
        <v>43</v>
      </c>
      <c r="F410" s="23" t="n">
        <v>7</v>
      </c>
      <c r="G410" s="23" t="n">
        <v>0</v>
      </c>
      <c r="H410" s="23" t="n">
        <v>7</v>
      </c>
      <c r="I410" s="23" t="n">
        <v>7</v>
      </c>
      <c r="J410" s="23" t="n">
        <v>0</v>
      </c>
      <c r="K410" s="23" t="n">
        <v>21</v>
      </c>
      <c r="L410" s="22" t="s">
        <v>44</v>
      </c>
    </row>
    <row r="411" s="35" customFormat="true" ht="22.15" hidden="false" customHeight="true" outlineLevel="0" collapsed="false">
      <c r="A411" s="24" t="s">
        <v>804</v>
      </c>
      <c r="B411" s="22" t="n">
        <v>6</v>
      </c>
      <c r="C411" s="21" t="s">
        <v>809</v>
      </c>
      <c r="D411" s="21" t="s">
        <v>814</v>
      </c>
      <c r="E411" s="22" t="s">
        <v>43</v>
      </c>
      <c r="F411" s="23" t="n">
        <v>7</v>
      </c>
      <c r="G411" s="23" t="n">
        <v>0</v>
      </c>
      <c r="H411" s="23" t="n">
        <v>7</v>
      </c>
      <c r="I411" s="23" t="n">
        <v>7</v>
      </c>
      <c r="J411" s="23" t="n">
        <v>0</v>
      </c>
      <c r="K411" s="23" t="n">
        <v>21</v>
      </c>
      <c r="L411" s="22" t="s">
        <v>44</v>
      </c>
    </row>
    <row r="412" s="35" customFormat="true" ht="22.15" hidden="false" customHeight="true" outlineLevel="0" collapsed="false">
      <c r="A412" s="24" t="s">
        <v>804</v>
      </c>
      <c r="B412" s="22" t="n">
        <v>7</v>
      </c>
      <c r="C412" s="21" t="s">
        <v>815</v>
      </c>
      <c r="D412" s="21" t="s">
        <v>816</v>
      </c>
      <c r="E412" s="22" t="s">
        <v>43</v>
      </c>
      <c r="F412" s="23" t="n">
        <v>7</v>
      </c>
      <c r="G412" s="23" t="n">
        <v>0</v>
      </c>
      <c r="H412" s="23" t="n">
        <v>4</v>
      </c>
      <c r="I412" s="23" t="n">
        <v>7</v>
      </c>
      <c r="J412" s="23" t="n">
        <v>0</v>
      </c>
      <c r="K412" s="23" t="n">
        <v>18</v>
      </c>
      <c r="L412" s="22" t="s">
        <v>44</v>
      </c>
    </row>
    <row r="413" s="35" customFormat="true" ht="22.15" hidden="false" customHeight="true" outlineLevel="0" collapsed="false">
      <c r="A413" s="36" t="s">
        <v>804</v>
      </c>
      <c r="B413" s="27" t="n">
        <v>8</v>
      </c>
      <c r="C413" s="26" t="s">
        <v>817</v>
      </c>
      <c r="D413" s="26" t="s">
        <v>818</v>
      </c>
      <c r="E413" s="27" t="s">
        <v>43</v>
      </c>
      <c r="F413" s="28" t="n">
        <v>7</v>
      </c>
      <c r="G413" s="28" t="n">
        <v>0</v>
      </c>
      <c r="H413" s="28" t="n">
        <v>1</v>
      </c>
      <c r="I413" s="28" t="n">
        <v>7</v>
      </c>
      <c r="J413" s="28" t="n">
        <v>0</v>
      </c>
      <c r="K413" s="28" t="n">
        <v>15</v>
      </c>
      <c r="L413" s="27" t="s">
        <v>49</v>
      </c>
      <c r="M413" s="29"/>
      <c r="N413" s="29"/>
      <c r="O413" s="29"/>
      <c r="P413" s="29"/>
    </row>
    <row r="414" s="29" customFormat="true" ht="22.15" hidden="false" customHeight="true" outlineLevel="0" collapsed="false">
      <c r="A414" s="36" t="s">
        <v>804</v>
      </c>
      <c r="B414" s="27" t="n">
        <v>9</v>
      </c>
      <c r="C414" s="26" t="s">
        <v>819</v>
      </c>
      <c r="D414" s="26" t="s">
        <v>820</v>
      </c>
      <c r="E414" s="27" t="s">
        <v>43</v>
      </c>
      <c r="F414" s="28" t="n">
        <v>7</v>
      </c>
      <c r="G414" s="28" t="n">
        <v>0</v>
      </c>
      <c r="H414" s="28" t="n">
        <v>7</v>
      </c>
      <c r="I414" s="28" t="n">
        <v>1</v>
      </c>
      <c r="J414" s="28" t="n">
        <v>0</v>
      </c>
      <c r="K414" s="28" t="n">
        <v>15</v>
      </c>
      <c r="L414" s="27" t="s">
        <v>49</v>
      </c>
    </row>
    <row r="415" s="29" customFormat="true" ht="22.15" hidden="false" customHeight="true" outlineLevel="0" collapsed="false">
      <c r="A415" s="36" t="s">
        <v>804</v>
      </c>
      <c r="B415" s="27" t="n">
        <v>10</v>
      </c>
      <c r="C415" s="26" t="s">
        <v>821</v>
      </c>
      <c r="D415" s="26" t="s">
        <v>822</v>
      </c>
      <c r="E415" s="27" t="s">
        <v>43</v>
      </c>
      <c r="F415" s="28" t="n">
        <v>7</v>
      </c>
      <c r="G415" s="28" t="n">
        <v>0</v>
      </c>
      <c r="H415" s="28" t="n">
        <v>7</v>
      </c>
      <c r="I415" s="28" t="n">
        <v>1</v>
      </c>
      <c r="J415" s="28" t="n">
        <v>0</v>
      </c>
      <c r="K415" s="28" t="n">
        <v>15</v>
      </c>
      <c r="L415" s="27" t="s">
        <v>49</v>
      </c>
    </row>
    <row r="416" s="29" customFormat="true" ht="22.15" hidden="false" customHeight="true" outlineLevel="0" collapsed="false">
      <c r="A416" s="1"/>
      <c r="B416" s="2"/>
      <c r="C416" s="3"/>
      <c r="D416" s="3"/>
      <c r="E416" s="4"/>
      <c r="F416" s="5"/>
      <c r="G416" s="5"/>
      <c r="H416" s="5"/>
      <c r="I416" s="5"/>
      <c r="J416" s="5"/>
      <c r="K416" s="5"/>
      <c r="L416" s="2"/>
      <c r="M416" s="1"/>
      <c r="N416" s="1"/>
      <c r="O416" s="1"/>
      <c r="P416" s="1"/>
    </row>
    <row r="417" customFormat="false" ht="22.15" hidden="false" customHeight="true" outlineLevel="0" collapsed="false">
      <c r="B417" s="1"/>
      <c r="C417" s="9"/>
      <c r="D417" s="9" t="s">
        <v>823</v>
      </c>
      <c r="E417" s="2"/>
      <c r="F417" s="5" t="s">
        <v>824</v>
      </c>
      <c r="G417" s="5" t="s">
        <v>825</v>
      </c>
      <c r="H417" s="5" t="s">
        <v>826</v>
      </c>
      <c r="I417" s="5" t="s">
        <v>827</v>
      </c>
      <c r="J417" s="5" t="s">
        <v>828</v>
      </c>
    </row>
    <row r="418" customFormat="false" ht="22.15" hidden="false" customHeight="true" outlineLevel="0" collapsed="false">
      <c r="B418" s="1"/>
      <c r="C418" s="9"/>
      <c r="D418" s="9" t="s">
        <v>15</v>
      </c>
      <c r="E418" s="2"/>
      <c r="F418" s="5" t="n">
        <f aca="false">AVERAGE(F19:F415)</f>
        <v>6.25944584382872</v>
      </c>
      <c r="G418" s="5" t="n">
        <f aca="false">AVERAGE(G19:G415)</f>
        <v>2.23173803526448</v>
      </c>
      <c r="H418" s="5" t="n">
        <f aca="false">AVERAGE(H19:H415)</f>
        <v>3.03022670025189</v>
      </c>
      <c r="I418" s="5" t="n">
        <f aca="false">AVERAGE(I19:I415)</f>
        <v>1.05541561712846</v>
      </c>
      <c r="J418" s="5" t="n">
        <f aca="false">AVERAGE(J19:J415)</f>
        <v>0.909319899244333</v>
      </c>
    </row>
    <row r="419" customFormat="false" ht="22.15" hidden="false" customHeight="true" outlineLevel="0" collapsed="false">
      <c r="A419" s="105" t="s">
        <v>829</v>
      </c>
      <c r="B419" s="1" t="n">
        <v>2</v>
      </c>
      <c r="C419" s="9"/>
      <c r="D419" s="9" t="s">
        <v>830</v>
      </c>
      <c r="E419" s="2"/>
      <c r="F419" s="5" t="n">
        <f aca="false">STDEV(F19:F415)</f>
        <v>1.74676980241832</v>
      </c>
      <c r="G419" s="5" t="n">
        <f aca="false">STDEV(G19:G415)</f>
        <v>3.18244875094845</v>
      </c>
      <c r="H419" s="5" t="n">
        <f aca="false">STDEV(H19:H415)</f>
        <v>3.0877884601669</v>
      </c>
      <c r="I419" s="5" t="n">
        <f aca="false">STDEV(I19:I415)</f>
        <v>2.31419688297903</v>
      </c>
      <c r="J419" s="5" t="n">
        <f aca="false">STDEV(J19:J415)</f>
        <v>2.23083052680503</v>
      </c>
    </row>
    <row r="420" customFormat="false" ht="22.15" hidden="false" customHeight="true" outlineLevel="0" collapsed="false">
      <c r="B420" s="1"/>
      <c r="C420" s="9"/>
      <c r="D420" s="9"/>
      <c r="E420" s="2"/>
    </row>
    <row r="421" customFormat="false" ht="22.15" hidden="false" customHeight="true" outlineLevel="0" collapsed="false">
      <c r="A421" s="30" t="s">
        <v>831</v>
      </c>
      <c r="B421" s="4" t="n">
        <v>1</v>
      </c>
      <c r="C421" s="54" t="s">
        <v>832</v>
      </c>
      <c r="D421" s="54" t="s">
        <v>833</v>
      </c>
      <c r="E421" s="4" t="s">
        <v>43</v>
      </c>
      <c r="F421" s="5" t="n">
        <v>6</v>
      </c>
      <c r="G421" s="5" t="n">
        <v>0</v>
      </c>
      <c r="H421" s="5" t="n">
        <v>0</v>
      </c>
      <c r="I421" s="5" t="n">
        <v>1</v>
      </c>
      <c r="J421" s="5" t="n">
        <v>0</v>
      </c>
      <c r="K421" s="5" t="n">
        <f aca="false">SUM(F421:J421)</f>
        <v>7</v>
      </c>
    </row>
    <row r="422" customFormat="false" ht="22.15" hidden="false" customHeight="true" outlineLevel="0" collapsed="false">
      <c r="A422" s="30" t="s">
        <v>831</v>
      </c>
      <c r="B422" s="4" t="n">
        <v>2</v>
      </c>
      <c r="C422" s="3" t="s">
        <v>834</v>
      </c>
      <c r="D422" s="54" t="s">
        <v>835</v>
      </c>
      <c r="E422" s="4" t="s">
        <v>52</v>
      </c>
      <c r="F422" s="5" t="n">
        <v>7</v>
      </c>
      <c r="G422" s="5" t="n">
        <v>0</v>
      </c>
      <c r="H422" s="5" t="n">
        <v>0</v>
      </c>
      <c r="I422" s="5" t="n">
        <v>0</v>
      </c>
      <c r="J422" s="5" t="n">
        <v>0</v>
      </c>
      <c r="K422" s="5" t="n">
        <f aca="false">SUM(F422:J422)</f>
        <v>7</v>
      </c>
    </row>
    <row r="423" customFormat="false" ht="22.15" hidden="false" customHeight="true" outlineLevel="0" collapsed="false">
      <c r="A423" s="30" t="s">
        <v>831</v>
      </c>
      <c r="B423" s="4" t="n">
        <v>3</v>
      </c>
      <c r="C423" s="3" t="s">
        <v>836</v>
      </c>
      <c r="D423" s="54" t="s">
        <v>837</v>
      </c>
      <c r="E423" s="4" t="s">
        <v>43</v>
      </c>
      <c r="F423" s="5" t="n">
        <v>6</v>
      </c>
      <c r="G423" s="5" t="n">
        <v>0</v>
      </c>
      <c r="H423" s="5" t="n">
        <v>0</v>
      </c>
      <c r="I423" s="5" t="n">
        <v>0</v>
      </c>
      <c r="J423" s="5" t="n">
        <v>0</v>
      </c>
      <c r="K423" s="5" t="n">
        <f aca="false">SUM(F423:J423)</f>
        <v>6</v>
      </c>
    </row>
    <row r="424" customFormat="false" ht="22.15" hidden="false" customHeight="true" outlineLevel="0" collapsed="false">
      <c r="A424" s="30" t="s">
        <v>831</v>
      </c>
      <c r="B424" s="4" t="n">
        <v>4</v>
      </c>
      <c r="C424" s="3" t="s">
        <v>838</v>
      </c>
      <c r="D424" s="54" t="s">
        <v>839</v>
      </c>
      <c r="E424" s="4" t="s">
        <v>43</v>
      </c>
      <c r="F424" s="5" t="n">
        <v>6</v>
      </c>
      <c r="G424" s="5" t="n">
        <v>0</v>
      </c>
      <c r="H424" s="5" t="n">
        <v>0</v>
      </c>
      <c r="I424" s="5" t="n">
        <v>0</v>
      </c>
      <c r="J424" s="5" t="n">
        <v>0</v>
      </c>
      <c r="K424" s="5" t="n">
        <f aca="false">SUM(F424:J424)</f>
        <v>6</v>
      </c>
    </row>
    <row r="425" customFormat="false" ht="22.15" hidden="false" customHeight="true" outlineLevel="0" collapsed="false">
      <c r="A425" s="30" t="s">
        <v>831</v>
      </c>
      <c r="B425" s="4" t="n">
        <v>5</v>
      </c>
      <c r="C425" s="3" t="s">
        <v>840</v>
      </c>
      <c r="D425" s="54" t="s">
        <v>841</v>
      </c>
      <c r="E425" s="4" t="s">
        <v>43</v>
      </c>
      <c r="F425" s="5" t="n">
        <v>6</v>
      </c>
      <c r="G425" s="5" t="n">
        <v>0</v>
      </c>
      <c r="H425" s="5" t="n">
        <v>0</v>
      </c>
      <c r="I425" s="5" t="n">
        <v>0</v>
      </c>
      <c r="J425" s="5" t="n">
        <v>0</v>
      </c>
      <c r="K425" s="5" t="n">
        <f aca="false">SUM(F425:J425)</f>
        <v>6</v>
      </c>
    </row>
    <row r="426" customFormat="false" ht="22.15" hidden="false" customHeight="true" outlineLevel="0" collapsed="false">
      <c r="A426" s="30" t="s">
        <v>831</v>
      </c>
      <c r="B426" s="4" t="n">
        <v>6</v>
      </c>
      <c r="C426" s="3" t="s">
        <v>842</v>
      </c>
      <c r="D426" s="54" t="s">
        <v>843</v>
      </c>
      <c r="E426" s="4" t="s">
        <v>43</v>
      </c>
      <c r="F426" s="5" t="n">
        <v>5</v>
      </c>
      <c r="G426" s="5" t="n">
        <v>0</v>
      </c>
      <c r="H426" s="5" t="n">
        <v>0</v>
      </c>
      <c r="I426" s="5" t="n">
        <v>0</v>
      </c>
      <c r="J426" s="5" t="n">
        <v>0</v>
      </c>
      <c r="K426" s="5" t="n">
        <f aca="false">SUM(F426:J426)</f>
        <v>5</v>
      </c>
    </row>
    <row r="427" customFormat="false" ht="22.15" hidden="false" customHeight="true" outlineLevel="0" collapsed="false">
      <c r="A427" s="30" t="s">
        <v>831</v>
      </c>
      <c r="B427" s="4" t="n">
        <v>7</v>
      </c>
      <c r="C427" s="3" t="s">
        <v>844</v>
      </c>
      <c r="D427" s="54" t="s">
        <v>845</v>
      </c>
      <c r="E427" s="4" t="s">
        <v>43</v>
      </c>
      <c r="F427" s="5" t="n">
        <v>4</v>
      </c>
      <c r="G427" s="5" t="n">
        <v>0</v>
      </c>
      <c r="H427" s="5" t="n">
        <v>0</v>
      </c>
      <c r="I427" s="5" t="n">
        <v>0</v>
      </c>
      <c r="J427" s="5" t="n">
        <v>0</v>
      </c>
      <c r="K427" s="5" t="n">
        <f aca="false">SUM(F427:J427)</f>
        <v>4</v>
      </c>
    </row>
    <row r="428" customFormat="false" ht="22.15" hidden="false" customHeight="true" outlineLevel="0" collapsed="false">
      <c r="A428" s="30" t="s">
        <v>831</v>
      </c>
      <c r="B428" s="4" t="n">
        <v>8</v>
      </c>
      <c r="C428" s="3" t="s">
        <v>846</v>
      </c>
      <c r="D428" s="54" t="s">
        <v>847</v>
      </c>
      <c r="E428" s="4" t="s">
        <v>43</v>
      </c>
      <c r="F428" s="5" t="n">
        <v>4</v>
      </c>
      <c r="G428" s="5" t="n">
        <v>0</v>
      </c>
      <c r="H428" s="5" t="n">
        <v>0</v>
      </c>
      <c r="I428" s="5" t="n">
        <v>0</v>
      </c>
      <c r="J428" s="5" t="n">
        <v>0</v>
      </c>
      <c r="K428" s="5" t="n">
        <f aca="false">SUM(F428:J428)</f>
        <v>4</v>
      </c>
    </row>
    <row r="429" customFormat="false" ht="22.15" hidden="false" customHeight="true" outlineLevel="0" collapsed="false">
      <c r="A429" s="30" t="s">
        <v>831</v>
      </c>
      <c r="B429" s="4" t="n">
        <v>9</v>
      </c>
      <c r="C429" s="54" t="s">
        <v>848</v>
      </c>
      <c r="D429" s="54" t="s">
        <v>849</v>
      </c>
      <c r="E429" s="4" t="s">
        <v>43</v>
      </c>
      <c r="F429" s="5" t="n">
        <v>3</v>
      </c>
      <c r="G429" s="5" t="n">
        <v>0</v>
      </c>
      <c r="H429" s="5" t="n">
        <v>0</v>
      </c>
      <c r="I429" s="5" t="n">
        <v>0</v>
      </c>
      <c r="J429" s="5" t="n">
        <v>0</v>
      </c>
      <c r="K429" s="5" t="n">
        <f aca="false">SUM(F429:J429)</f>
        <v>3</v>
      </c>
    </row>
    <row r="430" customFormat="false" ht="22.15" hidden="false" customHeight="true" outlineLevel="0" collapsed="false">
      <c r="A430" s="30" t="s">
        <v>831</v>
      </c>
      <c r="B430" s="51" t="n">
        <v>10</v>
      </c>
      <c r="C430" s="54" t="s">
        <v>850</v>
      </c>
      <c r="D430" s="54" t="s">
        <v>851</v>
      </c>
      <c r="E430" s="51" t="s">
        <v>52</v>
      </c>
      <c r="F430" s="55" t="n">
        <v>2</v>
      </c>
      <c r="G430" s="55" t="n">
        <v>0</v>
      </c>
      <c r="H430" s="55" t="n">
        <v>0</v>
      </c>
      <c r="I430" s="55" t="n">
        <v>0</v>
      </c>
      <c r="J430" s="55" t="n">
        <v>0</v>
      </c>
      <c r="K430" s="55" t="n">
        <f aca="false">SUM(F430:J430)</f>
        <v>2</v>
      </c>
    </row>
    <row r="431" customFormat="false" ht="22.15" hidden="false" customHeight="true" outlineLevel="0" collapsed="false">
      <c r="A431" s="30" t="s">
        <v>852</v>
      </c>
      <c r="B431" s="4" t="n">
        <v>1</v>
      </c>
      <c r="C431" s="3" t="s">
        <v>853</v>
      </c>
      <c r="D431" s="3" t="s">
        <v>854</v>
      </c>
      <c r="E431" s="4" t="s">
        <v>43</v>
      </c>
      <c r="F431" s="5" t="n">
        <v>7</v>
      </c>
      <c r="G431" s="5" t="n">
        <v>5</v>
      </c>
      <c r="H431" s="5" t="n">
        <v>0</v>
      </c>
      <c r="I431" s="5" t="n">
        <v>0</v>
      </c>
      <c r="J431" s="5" t="n">
        <v>0</v>
      </c>
      <c r="K431" s="5" t="n">
        <f aca="false">SUM(F431:J431)</f>
        <v>12</v>
      </c>
    </row>
    <row r="432" customFormat="false" ht="22.15" hidden="false" customHeight="true" outlineLevel="0" collapsed="false">
      <c r="A432" s="30" t="s">
        <v>852</v>
      </c>
      <c r="B432" s="4" t="n">
        <v>2</v>
      </c>
      <c r="C432" s="3" t="s">
        <v>855</v>
      </c>
      <c r="D432" s="3" t="s">
        <v>856</v>
      </c>
      <c r="E432" s="4" t="s">
        <v>52</v>
      </c>
      <c r="F432" s="5" t="n">
        <v>7</v>
      </c>
      <c r="G432" s="5" t="n">
        <v>0</v>
      </c>
      <c r="H432" s="5" t="n">
        <v>0</v>
      </c>
      <c r="I432" s="5" t="n">
        <v>0</v>
      </c>
      <c r="J432" s="5" t="n">
        <v>0</v>
      </c>
      <c r="K432" s="5" t="n">
        <f aca="false">SUM(F432:J432)</f>
        <v>7</v>
      </c>
    </row>
    <row r="433" customFormat="false" ht="22.15" hidden="false" customHeight="true" outlineLevel="0" collapsed="false">
      <c r="A433" s="30" t="s">
        <v>852</v>
      </c>
      <c r="B433" s="4" t="n">
        <v>3</v>
      </c>
      <c r="C433" s="3" t="s">
        <v>857</v>
      </c>
      <c r="D433" s="3" t="s">
        <v>858</v>
      </c>
      <c r="E433" s="4" t="s">
        <v>52</v>
      </c>
      <c r="F433" s="5" t="n">
        <v>7</v>
      </c>
      <c r="G433" s="5" t="n">
        <v>0</v>
      </c>
      <c r="H433" s="5" t="n">
        <v>0</v>
      </c>
      <c r="I433" s="5" t="n">
        <v>0</v>
      </c>
      <c r="J433" s="5" t="n">
        <v>0</v>
      </c>
      <c r="K433" s="5" t="n">
        <f aca="false">SUM(F433:J433)</f>
        <v>7</v>
      </c>
    </row>
    <row r="434" customFormat="false" ht="22.15" hidden="false" customHeight="true" outlineLevel="0" collapsed="false">
      <c r="A434" s="30" t="s">
        <v>852</v>
      </c>
      <c r="B434" s="4" t="n">
        <v>4</v>
      </c>
      <c r="C434" s="3" t="s">
        <v>859</v>
      </c>
      <c r="D434" s="3" t="s">
        <v>860</v>
      </c>
      <c r="E434" s="4" t="s">
        <v>43</v>
      </c>
      <c r="F434" s="5" t="n">
        <v>7</v>
      </c>
      <c r="G434" s="5" t="n">
        <v>0</v>
      </c>
      <c r="H434" s="5" t="n">
        <v>0</v>
      </c>
      <c r="I434" s="5" t="n">
        <v>0</v>
      </c>
      <c r="J434" s="5" t="n">
        <v>0</v>
      </c>
      <c r="K434" s="5" t="n">
        <f aca="false">SUM(F434:J434)</f>
        <v>7</v>
      </c>
    </row>
    <row r="435" customFormat="false" ht="22.15" hidden="false" customHeight="true" outlineLevel="0" collapsed="false">
      <c r="A435" s="30" t="s">
        <v>852</v>
      </c>
      <c r="B435" s="4" t="n">
        <v>5</v>
      </c>
      <c r="C435" s="3" t="s">
        <v>861</v>
      </c>
      <c r="D435" s="3" t="s">
        <v>862</v>
      </c>
      <c r="E435" s="4" t="s">
        <v>43</v>
      </c>
      <c r="F435" s="5" t="n">
        <v>7</v>
      </c>
      <c r="G435" s="5" t="n">
        <v>0</v>
      </c>
      <c r="H435" s="5" t="n">
        <v>0</v>
      </c>
      <c r="I435" s="5" t="n">
        <v>0</v>
      </c>
      <c r="J435" s="5" t="n">
        <v>0</v>
      </c>
      <c r="K435" s="5" t="n">
        <f aca="false">SUM(F435:J435)</f>
        <v>7</v>
      </c>
    </row>
    <row r="436" customFormat="false" ht="22.15" hidden="false" customHeight="true" outlineLevel="0" collapsed="false">
      <c r="A436" s="30" t="s">
        <v>852</v>
      </c>
      <c r="B436" s="4" t="n">
        <v>6</v>
      </c>
      <c r="C436" s="3" t="s">
        <v>863</v>
      </c>
      <c r="D436" s="3" t="s">
        <v>864</v>
      </c>
      <c r="E436" s="4" t="s">
        <v>43</v>
      </c>
      <c r="F436" s="5" t="n">
        <v>3</v>
      </c>
      <c r="G436" s="5" t="n">
        <v>0</v>
      </c>
      <c r="H436" s="5" t="n">
        <v>0</v>
      </c>
      <c r="I436" s="5" t="n">
        <v>0</v>
      </c>
      <c r="J436" s="5" t="n">
        <v>0</v>
      </c>
      <c r="K436" s="5" t="n">
        <f aca="false">SUM(F436:J436)</f>
        <v>3</v>
      </c>
    </row>
    <row r="437" customFormat="false" ht="22.15" hidden="false" customHeight="true" outlineLevel="0" collapsed="false">
      <c r="A437" s="30" t="s">
        <v>852</v>
      </c>
      <c r="B437" s="4" t="n">
        <v>7</v>
      </c>
      <c r="C437" s="3" t="s">
        <v>865</v>
      </c>
      <c r="D437" s="3" t="s">
        <v>866</v>
      </c>
      <c r="E437" s="4" t="s">
        <v>43</v>
      </c>
      <c r="F437" s="5" t="n">
        <v>1</v>
      </c>
      <c r="G437" s="5" t="n">
        <v>0</v>
      </c>
      <c r="H437" s="5" t="n">
        <v>1</v>
      </c>
      <c r="I437" s="5" t="n">
        <v>0</v>
      </c>
      <c r="J437" s="5" t="n">
        <v>0</v>
      </c>
      <c r="K437" s="5" t="n">
        <f aca="false">SUM(F437:J437)</f>
        <v>2</v>
      </c>
    </row>
    <row r="438" customFormat="false" ht="22.15" hidden="false" customHeight="true" outlineLevel="0" collapsed="false">
      <c r="A438" s="30" t="s">
        <v>852</v>
      </c>
      <c r="B438" s="4" t="n">
        <v>8</v>
      </c>
      <c r="C438" s="3" t="s">
        <v>867</v>
      </c>
      <c r="D438" s="3" t="s">
        <v>868</v>
      </c>
      <c r="E438" s="4" t="s">
        <v>43</v>
      </c>
      <c r="F438" s="5" t="n">
        <v>2</v>
      </c>
      <c r="G438" s="5" t="n">
        <v>0</v>
      </c>
      <c r="H438" s="5" t="n">
        <v>0</v>
      </c>
      <c r="I438" s="5" t="n">
        <v>0</v>
      </c>
      <c r="J438" s="5" t="n">
        <v>0</v>
      </c>
      <c r="K438" s="5" t="n">
        <f aca="false">SUM(F438:J438)</f>
        <v>2</v>
      </c>
    </row>
    <row r="439" customFormat="false" ht="22.15" hidden="false" customHeight="true" outlineLevel="0" collapsed="false">
      <c r="A439" s="30" t="s">
        <v>852</v>
      </c>
      <c r="B439" s="4" t="n">
        <v>9</v>
      </c>
      <c r="C439" s="3" t="s">
        <v>869</v>
      </c>
      <c r="D439" s="3" t="s">
        <v>870</v>
      </c>
      <c r="E439" s="4" t="s">
        <v>43</v>
      </c>
      <c r="F439" s="5" t="n">
        <v>1</v>
      </c>
      <c r="G439" s="5" t="n">
        <v>0</v>
      </c>
      <c r="H439" s="5" t="n">
        <v>0</v>
      </c>
      <c r="I439" s="5" t="n">
        <v>0</v>
      </c>
      <c r="J439" s="5" t="n">
        <v>0</v>
      </c>
      <c r="K439" s="5" t="n">
        <f aca="false">SUM(F439:J439)</f>
        <v>1</v>
      </c>
    </row>
    <row r="440" customFormat="false" ht="22.15" hidden="false" customHeight="true" outlineLevel="0" collapsed="false">
      <c r="A440" s="30" t="s">
        <v>852</v>
      </c>
      <c r="B440" s="4" t="n">
        <v>10</v>
      </c>
      <c r="C440" s="3" t="s">
        <v>871</v>
      </c>
      <c r="D440" s="3" t="s">
        <v>872</v>
      </c>
      <c r="E440" s="4" t="s">
        <v>43</v>
      </c>
      <c r="F440" s="5" t="n">
        <v>1</v>
      </c>
      <c r="G440" s="5" t="n">
        <v>0</v>
      </c>
      <c r="H440" s="5" t="n">
        <v>0</v>
      </c>
      <c r="I440" s="5" t="n">
        <v>0</v>
      </c>
      <c r="J440" s="5" t="n">
        <v>0</v>
      </c>
      <c r="K440" s="5" t="n">
        <f aca="false">SUM(F440:J440)</f>
        <v>1</v>
      </c>
    </row>
    <row r="441" customFormat="false" ht="22.15" hidden="false" customHeight="true" outlineLevel="0" collapsed="false"/>
    <row r="442" customFormat="false" ht="22.15" hidden="false" customHeight="true" outlineLevel="0" collapsed="false"/>
    <row r="443" customFormat="false" ht="22.15" hidden="false" customHeight="true" outlineLevel="0" collapsed="false"/>
    <row r="444" customFormat="false" ht="22.15" hidden="false" customHeight="true" outlineLevel="0" collapsed="false"/>
    <row r="445" customFormat="false" ht="22.15" hidden="false" customHeight="true" outlineLevel="0" collapsed="false"/>
    <row r="446" customFormat="false" ht="22.15" hidden="false" customHeight="true" outlineLevel="0" collapsed="false"/>
    <row r="447" customFormat="false" ht="22.15" hidden="false" customHeight="true" outlineLevel="0" collapsed="false"/>
    <row r="448" customFormat="false" ht="22.15" hidden="false" customHeight="true" outlineLevel="0" collapsed="false"/>
    <row r="449" customFormat="false" ht="22.15" hidden="false" customHeight="true" outlineLevel="0" collapsed="false"/>
    <row r="450" customFormat="false" ht="22.15" hidden="false" customHeight="true" outlineLevel="0" collapsed="false"/>
    <row r="451" customFormat="false" ht="22.15" hidden="false" customHeight="true" outlineLevel="0" collapsed="false"/>
    <row r="452" customFormat="false" ht="22.15" hidden="false" customHeight="true" outlineLevel="0" collapsed="false"/>
    <row r="453" customFormat="false" ht="22.15" hidden="false" customHeight="true" outlineLevel="0" collapsed="false"/>
    <row r="454" customFormat="false" ht="22.15" hidden="false" customHeight="true" outlineLevel="0" collapsed="false"/>
    <row r="455" customFormat="false" ht="22.15" hidden="false" customHeight="true" outlineLevel="0" collapsed="false"/>
    <row r="456" customFormat="false" ht="22.15" hidden="false" customHeight="true" outlineLevel="0" collapsed="false"/>
    <row r="457" customFormat="false" ht="22.15" hidden="false" customHeight="true" outlineLevel="0" collapsed="false"/>
    <row r="458" customFormat="false" ht="22.15" hidden="false" customHeight="true" outlineLevel="0" collapsed="false"/>
    <row r="459" customFormat="false" ht="22.15" hidden="false" customHeight="true" outlineLevel="0" collapsed="false"/>
    <row r="460" customFormat="false" ht="22.15" hidden="false" customHeight="true" outlineLevel="0" collapsed="false"/>
    <row r="461" customFormat="false" ht="22.15" hidden="false" customHeight="true" outlineLevel="0" collapsed="false"/>
    <row r="462" customFormat="false" ht="22.15" hidden="false" customHeight="true" outlineLevel="0" collapsed="false"/>
    <row r="463" customFormat="false" ht="22.15" hidden="false" customHeight="true" outlineLevel="0" collapsed="false"/>
    <row r="464" customFormat="false" ht="22.15" hidden="false" customHeight="true" outlineLevel="0" collapsed="false"/>
    <row r="465" customFormat="false" ht="22.15" hidden="false" customHeight="true" outlineLevel="0" collapsed="false"/>
    <row r="466" customFormat="false" ht="22.15" hidden="false" customHeight="true" outlineLevel="0" collapsed="false"/>
    <row r="467" customFormat="false" ht="22.15" hidden="false" customHeight="true" outlineLevel="0" collapsed="false"/>
    <row r="468" customFormat="false" ht="22.15" hidden="false" customHeight="true" outlineLevel="0" collapsed="false"/>
    <row r="469" customFormat="false" ht="22.15" hidden="false" customHeight="true" outlineLevel="0" collapsed="false"/>
    <row r="470" customFormat="false" ht="22.15" hidden="false" customHeight="true" outlineLevel="0" collapsed="false"/>
    <row r="471" customFormat="false" ht="22.15" hidden="false" customHeight="true" outlineLevel="0" collapsed="false"/>
    <row r="472" customFormat="false" ht="22.15" hidden="false" customHeight="true" outlineLevel="0" collapsed="false"/>
    <row r="473" customFormat="false" ht="22.1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142</TotalTime>
  <Application>LibreOffice/7.5.3.2$MacOSX_AARCH64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2026-06-03T04:37:16Z</dcterms:created>
  <dc:creator/>
  <dc:description/>
  <dc:language>en-US</dc:language>
  <cp:lastModifiedBy/>
  <dcterms:modified xsi:type="dcterms:W3CDTF">2026-06-30T22:44:05Z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877B0A0FC1F7461F8C848BDC9FDE7DD9_12</vt:lpwstr>
  </property>
  <property fmtid="{D5CDD505-2E9C-101B-9397-08002B2CF9AE}" pid="4" name="KSOProductBuildVer">
    <vt:lpwstr>1033-12.1.0.26880</vt:lpwstr>
  </property>
</Properties>
</file>